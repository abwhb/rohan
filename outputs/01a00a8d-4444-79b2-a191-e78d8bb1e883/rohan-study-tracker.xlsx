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e89709138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3715cd1ca440ee"/>
    <x:sheet xmlns:r="http://schemas.openxmlformats.org/officeDocument/2006/relationships" name="Daily Plan" sheetId="2" r:id="Rb2167994b3c24f50"/>
    <x:sheet xmlns:r="http://schemas.openxmlformats.org/officeDocument/2006/relationships" name="Study Log" sheetId="3" r:id="Rdca4de2a443a447d"/>
    <x:sheet xmlns:r="http://schemas.openxmlformats.org/officeDocument/2006/relationships" name="Mistake Log" sheetId="4" r:id="R0247bbc4deda428a"/>
    <x:sheet xmlns:r="http://schemas.openxmlformats.org/officeDocument/2006/relationships" name="Settings" sheetId="5" r:id="R4114070a0094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"/>
    <x:numFmt numFmtId="202" formatCode="0.0"/>
    <x:numFmt numFmtId="203" formatCode="0%"/>
    <x:numFmt numFmtId="204" formatCode="ddd, dd-mmm"/>
    <x:numFmt numFmtId="205" formatCode="hh:mm"/>
    <x:numFmt numFmtId="206" formatCode="dd-mmm-yyyy"/>
  </x:numFmts>
  <x:fonts count="12">
    <x:font>
      <x:sz val="11"/>
      <x:name val="Carlito"/>
    </x:font>
    <x:font>
      <x:b/>
      <x:sz val="20"/>
      <x:color rgb="FFFFFFFF"/>
      <x:name val="Aptos Display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2563EB"/>
      <x:name val="Aptos"/>
    </x:font>
    <x:font>
      <x:sz val="10"/>
      <x:color rgb="FF0F172A"/>
      <x:name val="Aptos"/>
    </x:font>
    <x:font>
      <x:b/>
      <x:sz val="11"/>
      <x:color rgb="FFFFFFFF"/>
      <x:name val="Aptos"/>
    </x:font>
    <x:font>
      <x:sz val="9"/>
      <x:color rgb="FF334155"/>
      <x:name val="Aptos"/>
    </x:font>
    <x:font>
      <x:b/>
      <x:sz val="22"/>
      <x:color rgb="FF0F172A"/>
      <x:name val="Aptos Display"/>
    </x:font>
    <x:font>
      <x:b/>
      <x:sz val="10"/>
      <x:color rgb="FF334155"/>
      <x:name val="Aptos"/>
    </x:font>
    <x:font>
      <x:b/>
      <x:sz val="10"/>
      <x:color rgb="FF0F172A"/>
      <x:name val="Aptos"/>
    </x:font>
    <x:font>
      <x:b/>
      <x:sz val="10"/>
      <x:color rgb="FFD9770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</x:fills>
  <x:borders count="16">
    <x:border/>
    <x:border>
      <x:right style="thin">
        <x:color rgb="FFCBD5E1"/>
      </x:right>
    </x:border>
    <x:border>
      <x:left style="thin">
        <x:color rgb="FFCBD5E1"/>
      </x:left>
    </x:border>
    <x:border>
      <x:left style="thin">
        <x:color rgb="FFCBD5E1"/>
      </x:left>
      <x:right style="thin">
        <x:color rgb="FFCBD5E1"/>
      </x:righ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0" fillId="3" borderId="0" xfId="0" applyNumberFormat="1" applyFont="1" applyFill="1" applyBorder="1"/>
    <x:xf numFmtId="202" fontId="5" fillId="3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left" vertical="center"/>
    </x:xf>
    <x:xf numFmtId="204" fontId="7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 wrapText="1"/>
    </x:xf>
    <x:xf numFmtId="201" fontId="7" fillId="0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horizontal="center" vertical="center"/>
    </x:xf>
    <x:xf numFmtId="203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5" borderId="0" xfId="0" applyNumberFormat="1" applyFont="1" applyFill="1" applyBorder="1"/>
    <x:xf numFmtId="205" fontId="2" fillId="5" borderId="0" xfId="0" applyNumberFormat="1" applyFont="1" applyFill="1" applyBorder="1"/>
    <x:xf numFmtId="201" fontId="2" fillId="5" borderId="0" xfId="0" applyNumberFormat="1" applyFont="1" applyFill="1" applyBorder="1"/>
    <x:xf numFmtId="203" fontId="2" fillId="0" borderId="0" xfId="0" applyNumberFormat="1" applyFont="1" applyFill="1" applyBorder="1"/>
    <x:xf numFmtId="203" fontId="2" fillId="3" borderId="0" xfId="0" applyNumberFormat="1" applyFont="1" applyFill="1" applyBorder="1"/>
    <x:xf numFmtId="0" fontId="5" fillId="3" borderId="0" xfId="0" applyNumberFormat="1" applyFont="1" applyFill="1" applyBorder="1"/>
    <x:xf numFmtId="203" fontId="2" fillId="5" borderId="0" xfId="0" applyNumberFormat="1" applyFont="1" applyFill="1" applyBorder="1"/>
    <x:xf numFmtId="0" fontId="0" fillId="3" borderId="9" xfId="0" applyNumberFormat="1" applyFont="1" applyFill="1" applyBorder="1"/>
    <x:xf numFmtId="0" fontId="0" fillId="3" borderId="8" xfId="0" applyNumberFormat="1" applyFont="1" applyFill="1" applyBorder="1"/>
    <x:xf numFmtId="0" fontId="0" fillId="3" borderId="2" xfId="0" applyNumberFormat="1" applyFont="1" applyFill="1" applyBorder="1"/>
    <x:xf numFmtId="0" fontId="0" fillId="3" borderId="1" xfId="0" applyNumberFormat="1" applyFont="1" applyFill="1" applyBorder="1"/>
    <x:xf numFmtId="0" fontId="0" fillId="3" borderId="5" xfId="0" applyNumberFormat="1" applyFont="1" applyFill="1" applyBorder="1"/>
    <x:xf numFmtId="0" fontId="0" fillId="3" borderId="4" xfId="0" applyNumberFormat="1" applyFont="1" applyFill="1" applyBorder="1"/>
    <x:xf numFmtId="0" fontId="0" fillId="6" borderId="9" xfId="0" applyNumberFormat="1" applyFont="1" applyFill="1" applyBorder="1"/>
    <x:xf numFmtId="0" fontId="0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 applyAlignment="1">
      <x:alignment horizontal="center"/>
    </x:xf>
    <x:xf numFmtId="0" fontId="3" fillId="6" borderId="8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0" fillId="7" borderId="1" xfId="0" applyNumberFormat="1" applyFont="1" applyFill="1" applyBorder="1"/>
    <x:xf numFmtId="0" fontId="0" fillId="7" borderId="5" xfId="0" applyNumberFormat="1" applyFont="1" applyFill="1" applyBorder="1"/>
    <x:xf numFmtId="0" fontId="0" fillId="7" borderId="4" xfId="0" applyNumberFormat="1" applyFont="1" applyFill="1" applyBorder="1"/>
    <x:xf numFmtId="0" fontId="8" fillId="7" borderId="2" xfId="0" applyNumberFormat="1" applyFont="1" applyFill="1" applyBorder="1"/>
    <x:xf numFmtId="0" fontId="8" fillId="7" borderId="1" xfId="0" applyNumberFormat="1" applyFont="1" applyFill="1" applyBorder="1"/>
    <x:xf numFmtId="0" fontId="8" fillId="7" borderId="5" xfId="0" applyNumberFormat="1" applyFont="1" applyFill="1" applyBorder="1"/>
    <x:xf numFmtId="0" fontId="8" fillId="7" borderId="4" xfId="0" applyNumberFormat="1" applyFont="1" applyFill="1" applyBorder="1"/>
    <x:xf numFmtId="0" fontId="8" fillId="7" borderId="9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 applyAlignment="1">
      <x:alignment horizontal="center"/>
    </x:xf>
    <x:xf numFmtId="0" fontId="8" fillId="7" borderId="8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/>
    </x:xf>
    <x:xf numFmtId="0" fontId="8" fillId="7" borderId="9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206" fontId="8" fillId="7" borderId="9" xfId="0" applyNumberFormat="1" applyFont="1" applyFill="1" applyBorder="1" applyAlignment="1">
      <x:alignment horizontal="center" vertical="center"/>
    </x:xf>
    <x:xf numFmtId="201" fontId="8" fillId="7" borderId="9" xfId="0" applyNumberFormat="1" applyFont="1" applyFill="1" applyBorder="1" applyAlignment="1">
      <x:alignment horizontal="center" vertical="center"/>
    </x:xf>
    <x:xf numFmtId="202" fontId="8" fillId="7" borderId="9" xfId="0" applyNumberFormat="1" applyFont="1" applyFill="1" applyBorder="1" applyAlignment="1">
      <x:alignment horizontal="center" vertical="center"/>
    </x:xf>
    <x:xf numFmtId="203" fontId="8" fillId="7" borderId="9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1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11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12" xfId="0" applyNumberFormat="1" applyFont="1" applyFill="1" applyBorder="1"/>
    <x:xf numFmtId="0" fontId="5" fillId="7" borderId="9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7" xfId="0" applyNumberFormat="1" applyFont="1" applyFill="1" applyBorder="1"/>
    <x:xf numFmtId="0" fontId="10" fillId="5" borderId="13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 applyAlignment="1">
      <x:alignment horizontal="center"/>
    </x:xf>
    <x:xf numFmtId="0" fontId="10" fillId="5" borderId="13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201" fontId="10" fillId="5" borderId="13" xfId="0" applyNumberFormat="1" applyFont="1" applyFill="1" applyBorder="1" applyAlignment="1">
      <x:alignment horizontal="center"/>
    </x:xf>
    <x:xf numFmtId="203" fontId="10" fillId="5" borderId="6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10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11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12" xfId="0" applyNumberFormat="1" applyFont="1" applyFill="1" applyBorder="1"/>
    <x:xf numFmtId="0" fontId="2" fillId="7" borderId="9" xfId="0" applyNumberFormat="1" applyFont="1" applyFill="1" applyBorder="1"/>
    <x:xf numFmtId="201" fontId="2" fillId="7" borderId="10" xfId="0" applyNumberFormat="1" applyFont="1" applyFill="1" applyBorder="1"/>
    <x:xf numFmtId="201" fontId="2" fillId="7" borderId="11" xfId="0" applyNumberFormat="1" applyFont="1" applyFill="1" applyBorder="1"/>
    <x:xf numFmtId="201" fontId="2" fillId="7" borderId="12" xfId="0" applyNumberFormat="1" applyFont="1" applyFill="1" applyBorder="1"/>
    <x:xf numFmtId="203" fontId="2" fillId="7" borderId="10" xfId="0" applyNumberFormat="1" applyFont="1" applyFill="1" applyBorder="1"/>
    <x:xf numFmtId="203" fontId="2" fillId="7" borderId="11" xfId="0" applyNumberFormat="1" applyFont="1" applyFill="1" applyBorder="1"/>
    <x:xf numFmtId="203" fontId="2" fillId="7" borderId="12" xfId="0" applyNumberFormat="1" applyFont="1" applyFill="1" applyBorder="1"/>
    <x:xf numFmtId="203" fontId="2" fillId="7" borderId="5" xfId="0" applyNumberFormat="1" applyFont="1" applyFill="1" applyBorder="1"/>
    <x:xf numFmtId="203" fontId="2" fillId="7" borderId="7" xfId="0" applyNumberFormat="1" applyFont="1" applyFill="1" applyBorder="1"/>
    <x:xf numFmtId="203" fontId="2" fillId="7" borderId="9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9" xfId="0" applyNumberFormat="1" applyFont="1" applyFill="1" applyBorder="1"/>
    <x:xf numFmtId="0" fontId="11" fillId="8" borderId="14" xfId="0" applyNumberFormat="1" applyFont="1" applyFill="1" applyBorder="1"/>
    <x:xf numFmtId="0" fontId="11" fillId="8" borderId="8" xfId="0" applyNumberFormat="1" applyFont="1" applyFill="1" applyBorder="1"/>
    <x:xf numFmtId="0" fontId="11" fillId="8" borderId="5" xfId="0" applyNumberFormat="1" applyFont="1" applyFill="1" applyBorder="1"/>
    <x:xf numFmtId="0" fontId="11" fillId="8" borderId="15" xfId="0" applyNumberFormat="1" applyFont="1" applyFill="1" applyBorder="1"/>
    <x:xf numFmtId="0" fontId="11" fillId="8" borderId="4" xfId="0" applyNumberFormat="1" applyFont="1" applyFill="1" applyBorder="1"/>
    <x:xf numFmtId="0" fontId="11" fillId="8" borderId="9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wrapText="1"/>
    </x:xf>
    <x:xf numFmtId="0" fontId="11" fillId="8" borderId="5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4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11" fillId="8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16A34A"/>
      </x:font>
      <x:fill>
        <x:patternFill patternType="solid">
          <x:bgColor rgb="FFECFDF5"/>
        </x:patternFill>
      </x:fill>
    </x:dxf>
    <x:dxf>
      <x:font>
        <x:b/>
        <x:color rgb="FFD97706"/>
      </x:font>
      <x:fill>
        <x:patternFill patternType="solid">
          <x:bgColor rgb="FFFFFBEB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D97706"/>
      </x:font>
      <x:fill>
        <x:patternFill patternType="solid">
          <x:bgColor rgb="FFFFFBEB"/>
        </x:patternFill>
      </x:fill>
    </x:dxf>
    <x:dxf>
      <x:font>
        <x:b/>
        <x:color rgb="FF16A34A"/>
      </x:font>
      <x:fill>
        <x:patternFill patternType="solid">
          <x:bgColor rgb="FFECFDF5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D97706"/>
      </x:font>
      <x:fill>
        <x:patternFill patternType="solid">
          <x:bgColor rgb="FFFFFBEB"/>
        </x:patternFill>
      </x:fill>
    </x:dxf>
    <x:dxf>
      <x:font>
        <x:b/>
        <x:color rgb="FF16A34A"/>
      </x:font>
      <x:fill>
        <x:patternFill patternType="solid">
          <x:bgColor rgb="FFECFDF5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D97706"/>
      </x:font>
      <x:fill>
        <x:patternFill patternType="solid">
          <x:bgColor rgb="FFFFFBEB"/>
        </x:patternFill>
      </x:fill>
    </x:dxf>
    <x:dxf>
      <x:font>
        <x:b/>
        <x:color rgb="FF16A34A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f1f1ac05d4019" /><Relationship Type="http://schemas.openxmlformats.org/officeDocument/2006/relationships/theme" Target="/xl/theme/theme1.xml" Id="R2481ce8cdb924045" /><Relationship Type="http://schemas.openxmlformats.org/officeDocument/2006/relationships/sharedStrings" Target="/xl/sharedStrings.xml" Id="R7656dfa907c14558" /><Relationship Type="http://schemas.openxmlformats.org/officeDocument/2006/relationships/worksheet" Target="/xl/worksheets/sheet1.xml" Id="R9b3715cd1ca440ee" /><Relationship Type="http://schemas.openxmlformats.org/officeDocument/2006/relationships/worksheet" Target="/xl/worksheets/sheet2.xml" Id="Rb2167994b3c24f50" /><Relationship Type="http://schemas.openxmlformats.org/officeDocument/2006/relationships/worksheet" Target="/xl/worksheets/sheet3.xml" Id="Rdca4de2a443a447d" /><Relationship Type="http://schemas.openxmlformats.org/officeDocument/2006/relationships/worksheet" Target="/xl/worksheets/sheet4.xml" Id="R0247bbc4deda428a" /><Relationship Type="http://schemas.openxmlformats.org/officeDocument/2006/relationships/worksheet" Target="/xl/worksheets/sheet5.xml" Id="R4114070a00944e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308069f93649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Focused study minutes by 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Target minutes</c:v>
          </c:tx>
          <c:marker>
            <c:symbol val="none"/>
          </c:marker>
          <c:cat>
            <c:strRef>
              <c:f>'Dashboard'!$K$4:$K$48</c:f>
              <c:strCache>
                <c:ptCount val="0"/>
              </c:strCache>
            </c:strRef>
          </c:cat>
          <c:val>
            <c:numRef>
              <c:f>'Dashboard'!$L$4:$L$48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minutes</c:v>
          </c:tx>
          <c:marker>
            <c:symbol val="none"/>
          </c:marker>
          <c:cat>
            <c:strRef>
              <c:f>'Dashboard'!$K$4:$K$48</c:f>
              <c:strCache>
                <c:ptCount val="0"/>
              </c:strCache>
            </c:strRef>
          </c:cat>
          <c:val>
            <c:numRef>
              <c:f>'Dashboard'!$M$4:$M$48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3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308069f93649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PlanTable" displayName="DailyPlanTable" ref="A4:L49" headerRowCount="1" totalsRowCount="0" totalsRowShown="0">
  <x:tableColumns count="12">
    <x:tableColumn id="1" name="Day"/>
    <x:tableColumn id="2" name="Date"/>
    <x:tableColumn id="3" name="Phase"/>
    <x:tableColumn id="4" name="Day priority"/>
    <x:tableColumn id="5" name="Pure Mathematics 1"/>
    <x:tableColumn id="6" name="Business"/>
    <x:tableColumn id="7" name="Mechanics"/>
    <x:tableColumn id="8" name="Target min"/>
    <x:tableColumn id="9" name="Actual min"/>
    <x:tableColumn id="10" name="Completion"/>
    <x:tableColumn id="11" name="Status"/>
    <x:tableColumn id="12" name="Teacher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yLogTable" displayName="StudyLogTable" ref="A4:M204" headerRowCount="1" totalsRowCount="0" totalsRowShown="0">
  <x:tableColumns count="13">
    <x:tableColumn id="1" name="Date"/>
    <x:tableColumn id="2" name="Start time"/>
    <x:tableColumn id="3" name="Subject"/>
    <x:tableColumn id="4" name="Paper"/>
    <x:tableColumn id="5" name="Activity"/>
    <x:tableColumn id="6" name="Topic / objective"/>
    <x:tableColumn id="7" name="Actual min"/>
    <x:tableColumn id="8" name="Questions"/>
    <x:tableColumn id="9" name="Marks earned"/>
    <x:tableColumn id="10" name="Marks available"/>
    <x:tableColumn id="11" name="Accuracy"/>
    <x:tableColumn id="12" name="Confidence 1–5"/>
    <x:tableColumn id="13" name="Evidence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takeLogTable" displayName="MistakeLogTable" ref="A4:N104" headerRowCount="1" totalsRowCount="0" totalsRowShown="0">
  <x:tableColumns count="14">
    <x:tableColumn id="1" name="ID"/>
    <x:tableColumn id="2" name="Date"/>
    <x:tableColumn id="3" name="Subject"/>
    <x:tableColumn id="4" name="Paper"/>
    <x:tableColumn id="5" name="Topic / objective"/>
    <x:tableColumn id="6" name="Question ref"/>
    <x:tableColumn id="7" name="Error type"/>
    <x:tableColumn id="8" name="What went wrong"/>
    <x:tableColumn id="9" name="Correct method / rule"/>
    <x:tableColumn id="10" name="Marks lost"/>
    <x:tableColumn id="11" name="Review date"/>
    <x:tableColumn id="12" name="Review result"/>
    <x:tableColumn id="13" name="Status"/>
    <x:tableColumn id="14" name="Teacher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204c7e91f8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9d728272b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74aed1e644e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ba0c7c91eb40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4" customHeight="1">
      <x:c r="A1" s="3" t="str">
        <x:v>Rohan AS Study Dashboard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 45-day command centre for 9709 Pure Mathematics 1, 9709 Mechanics, and 9609 Business. Log sessions; the dashboard updates.</x:v>
      </x:c>
      <x:c r="B2" s="7"/>
      <x:c r="C2" s="7"/>
      <x:c r="D2" s="7"/>
      <x:c r="E2" s="7"/>
      <x:c r="F2" s="7"/>
      <x:c r="G2" s="7"/>
      <x:c r="H2" s="7"/>
    </x:row>
    <x:row r="3">
      <x:c r="K3" t="str">
        <x:v>Day</x:v>
      </x:c>
      <x:c r="L3" t="str">
        <x:v>Target minutes</x:v>
      </x:c>
      <x:c r="M3" t="str">
        <x:v>Actual minutes</x:v>
      </x:c>
    </x:row>
    <x:row r="4">
      <x:c r="A4" s="96" t="str">
        <x:v>Today</x:v>
      </x:c>
      <x:c r="B4" s="97"/>
      <x:c r="C4" s="96" t="str">
        <x:v>Days to Pure 1</x:v>
      </x:c>
      <x:c r="D4" s="97"/>
      <x:c r="E4" s="96" t="str">
        <x:v>Focus hours logged</x:v>
      </x:c>
      <x:c r="F4" s="97"/>
      <x:c r="G4" s="96" t="str">
        <x:v>270-min target-day rate</x:v>
      </x:c>
      <x:c r="H4" s="97"/>
      <x:c r="K4" t="str">
        <x:f>"Day "&amp;'Daily Plan'!A5</x:f>
        <x:v>Day 1</x:v>
      </x:c>
      <x:c r="L4" t="n">
        <x:f>'Daily Plan'!H5</x:f>
        <x:v>270</x:v>
      </x:c>
      <x:c r="M4" t="n">
        <x:f>IF('Daily Plan'!B5&gt;TODAY(),"",'Daily Plan'!I5)</x:f>
        <x:v>0</x:v>
      </x:c>
    </x:row>
    <x:row r="5">
      <x:c r="A5" s="116" t="n">
        <x:f>TODAY()</x:f>
        <x:v>46250</x:v>
      </x:c>
      <x:c r="B5" s="113"/>
      <x:c r="C5" s="117" t="n">
        <x:f>MAX(0,'Settings'!$B$5-TODAY())</x:f>
        <x:v>45</x:v>
      </x:c>
      <x:c r="D5" s="113"/>
      <x:c r="E5" s="118" t="n">
        <x:f>SUM('Daily Plan'!$I$5:$I$49)/60</x:f>
        <x:v>0</x:v>
      </x:c>
      <x:c r="F5" s="113"/>
      <x:c r="G5" s="119" t="n">
        <x:f>IFERROR(COUNTIF('Daily Plan'!$I$5:$I$49,"&gt;="&amp;'Settings'!$B$9)/MAX(1,COUNTIF('Daily Plan'!$B$5:$B$49,"&lt;="&amp;TODAY())),0)</x:f>
        <x:v>0</x:v>
      </x:c>
      <x:c r="H5" s="113"/>
      <x:c r="K5" t="str">
        <x:f>"Day "&amp;'Daily Plan'!A6</x:f>
        <x:v>Day 2</x:v>
      </x:c>
      <x:c r="L5" t="n">
        <x:f>'Daily Plan'!H6</x:f>
        <x:v>270</x:v>
      </x:c>
      <x:c r="M5" t="str">
        <x:f>IF('Daily Plan'!B6&gt;TODAY(),"",'Daily Plan'!I6)</x:f>
      </x:c>
    </x:row>
    <x:row r="6">
      <x:c r="A6" s="114"/>
      <x:c r="B6" s="115"/>
      <x:c r="C6" s="114"/>
      <x:c r="D6" s="115"/>
      <x:c r="E6" s="114"/>
      <x:c r="F6" s="115"/>
      <x:c r="G6" s="114"/>
      <x:c r="H6" s="115"/>
      <x:c r="K6" t="str">
        <x:f>"Day "&amp;'Daily Plan'!A7</x:f>
        <x:v>Day 3</x:v>
      </x:c>
      <x:c r="L6" t="n">
        <x:f>'Daily Plan'!H7</x:f>
        <x:v>270</x:v>
      </x:c>
      <x:c r="M6" t="str">
        <x:f>IF('Daily Plan'!B7&gt;TODAY(),"",'Daily Plan'!I7)</x:f>
      </x:c>
    </x:row>
    <x:row r="7">
      <x:c r="K7" t="str">
        <x:f>"Day "&amp;'Daily Plan'!A8</x:f>
        <x:v>Day 4</x:v>
      </x:c>
      <x:c r="L7" t="n">
        <x:f>'Daily Plan'!H8</x:f>
        <x:v>270</x:v>
      </x:c>
      <x:c r="M7" t="str">
        <x:f>IF('Daily Plan'!B8&gt;TODAY(),"",'Daily Plan'!I8)</x:f>
      </x:c>
    </x:row>
    <x:row r="8" ht="24" customHeight="1">
      <x:c r="A8" s="39" t="str">
        <x:v>Today's mission</x:v>
      </x:c>
      <x:c r="B8" s="39"/>
      <x:c r="C8" s="39"/>
      <x:c r="D8" s="39"/>
      <x:c r="E8" s="39"/>
      <x:c r="F8" s="39"/>
      <x:c r="G8" s="39"/>
      <x:c r="H8" s="39"/>
      <x:c r="K8" t="str">
        <x:f>"Day "&amp;'Daily Plan'!A9</x:f>
        <x:v>Day 5</x:v>
      </x:c>
      <x:c r="L8" t="n">
        <x:f>'Daily Plan'!H9</x:f>
        <x:v>270</x:v>
      </x:c>
      <x:c r="M8" t="str">
        <x:f>IF('Daily Plan'!B9&gt;TODAY(),"",'Daily Plan'!I9)</x:f>
      </x:c>
    </x:row>
    <x:row r="9" ht="30" customHeight="1">
      <x:c r="A9" s="121" t="str">
        <x:v>Current phase</x:v>
      </x:c>
      <x:c r="B9" s="121"/>
      <x:c r="C9" s="142" t="str">
        <x:f>IFERROR(INDEX('Daily Plan'!$C$5:$C$49,MATCH(TODAY(),'Daily Plan'!$B$5:$B$49,0)),"Outside 45-day core")</x:f>
        <x:v>Baseline &amp; setup</x:v>
      </x:c>
      <x:c r="D9" s="143"/>
      <x:c r="E9" s="143"/>
      <x:c r="F9" s="143"/>
      <x:c r="G9" s="143"/>
      <x:c r="H9" s="144"/>
      <x:c r="K9" t="str">
        <x:f>"Day "&amp;'Daily Plan'!A10</x:f>
        <x:v>Day 6</x:v>
      </x:c>
      <x:c r="L9" t="n">
        <x:f>'Daily Plan'!H10</x:f>
        <x:v>270</x:v>
      </x:c>
      <x:c r="M9" t="str">
        <x:f>IF('Daily Plan'!B10&gt;TODAY(),"",'Daily Plan'!I10)</x:f>
      </x:c>
    </x:row>
    <x:row r="10" ht="30" customHeight="1">
      <x:c r="A10" s="121" t="str">
        <x:v>Pure Mathematics 1</x:v>
      </x:c>
      <x:c r="B10" s="121"/>
      <x:c r="C10" s="145" t="str">
        <x:f>IFERROR(INDEX('Daily Plan'!$E$5:$E$49,MATCH(TODAY(),'Daily Plan'!$B$5:$B$49,0)),"No plan today")</x:f>
        <x:v>Timed Paper 1 baseline</x:v>
      </x:c>
      <x:c r="D10" s="146"/>
      <x:c r="E10" s="146"/>
      <x:c r="F10" s="146"/>
      <x:c r="G10" s="146"/>
      <x:c r="H10" s="147"/>
      <x:c r="K10" t="str">
        <x:f>"Day "&amp;'Daily Plan'!A11</x:f>
        <x:v>Day 7</x:v>
      </x:c>
      <x:c r="L10" t="n">
        <x:f>'Daily Plan'!H11</x:f>
        <x:v>270</x:v>
      </x:c>
      <x:c r="M10" t="str">
        <x:f>IF('Daily Plan'!B11&gt;TODAY(),"",'Daily Plan'!I11)</x:f>
      </x:c>
    </x:row>
    <x:row r="11" ht="30" customHeight="1">
      <x:c r="A11" s="121" t="str">
        <x:v>Business</x:v>
      </x:c>
      <x:c r="B11" s="121"/>
      <x:c r="C11" s="145" t="str">
        <x:f>IFERROR(INDEX('Daily Plan'!$F$5:$F$49,MATCH(TODAY(),'Daily Plan'!$B$5:$B$49,0)),"No plan today")</x:f>
        <x:v>Timed Business Paper 1 baseline</x:v>
      </x:c>
      <x:c r="D11" s="146"/>
      <x:c r="E11" s="146"/>
      <x:c r="F11" s="146"/>
      <x:c r="G11" s="146"/>
      <x:c r="H11" s="147"/>
      <x:c r="K11" t="str">
        <x:f>"Day "&amp;'Daily Plan'!A12</x:f>
        <x:v>Day 8</x:v>
      </x:c>
      <x:c r="L11" t="n">
        <x:f>'Daily Plan'!H12</x:f>
        <x:v>270</x:v>
      </x:c>
      <x:c r="M11" t="str">
        <x:f>IF('Daily Plan'!B12&gt;TODAY(),"",'Daily Plan'!I12)</x:f>
      </x:c>
    </x:row>
    <x:row r="12" ht="30" customHeight="1">
      <x:c r="A12" s="121" t="str">
        <x:v>Mechanics</x:v>
      </x:c>
      <x:c r="B12" s="121"/>
      <x:c r="C12" s="148" t="str">
        <x:f>IFERROR(INDEX('Daily Plan'!$G$5:$G$49,MATCH(TODAY(),'Daily Plan'!$B$5:$B$49,0)),"No plan today")</x:f>
        <x:v>Formula and modelling diagnostic</x:v>
      </x:c>
      <x:c r="D12" s="149"/>
      <x:c r="E12" s="149"/>
      <x:c r="F12" s="149"/>
      <x:c r="G12" s="149"/>
      <x:c r="H12" s="150"/>
      <x:c r="K12" t="str">
        <x:f>"Day "&amp;'Daily Plan'!A13</x:f>
        <x:v>Day 9</x:v>
      </x:c>
      <x:c r="L12" t="n">
        <x:f>'Daily Plan'!H13</x:f>
        <x:v>270</x:v>
      </x:c>
      <x:c r="M12" t="str">
        <x:f>IF('Daily Plan'!B13&gt;TODAY(),"",'Daily Plan'!I13)</x:f>
      </x:c>
    </x:row>
    <x:row r="13">
      <x:c r="A13" s="155" t="str">
        <x:v>Planned min</x:v>
      </x:c>
      <x:c r="B13" s="156" t="str"/>
      <x:c r="C13" s="158" t="n">
        <x:f>IFERROR(INDEX('Daily Plan'!$H$5:$H$49,MATCH(TODAY(),'Daily Plan'!$B$5:$B$49,0)),0)</x:f>
        <x:v>270</x:v>
      </x:c>
      <x:c r="D13" s="158" t="str">
        <x:v>Logged min</x:v>
      </x:c>
      <x:c r="E13" s="158" t="str"/>
      <x:c r="F13" s="158" t="n">
        <x:f>IFERROR(INDEX('Daily Plan'!$I$5:$I$49,MATCH(TODAY(),'Daily Plan'!$B$5:$B$49,0)),0)</x:f>
        <x:v>0</x:v>
      </x:c>
      <x:c r="G13" s="156" t="str">
        <x:v>Completion</x:v>
      </x:c>
      <x:c r="H13" s="159" t="n">
        <x:f>IFERROR(INDEX('Daily Plan'!$J$5:$J$49,MATCH(TODAY(),'Daily Plan'!$B$5:$B$49,0)),0)</x:f>
        <x:v>0</x:v>
      </x:c>
      <x:c r="K13" t="str">
        <x:f>"Day "&amp;'Daily Plan'!A14</x:f>
        <x:v>Day 10</x:v>
      </x:c>
      <x:c r="L13" t="n">
        <x:f>'Daily Plan'!H14</x:f>
        <x:v>270</x:v>
      </x:c>
      <x:c r="M13" t="str">
        <x:f>IF('Daily Plan'!B14&gt;TODAY(),"",'Daily Plan'!I14)</x:f>
      </x:c>
    </x:row>
    <x:row r="14">
      <x:c r="K14" t="str">
        <x:f>"Day "&amp;'Daily Plan'!A15</x:f>
        <x:v>Day 11</x:v>
      </x:c>
      <x:c r="L14" t="n">
        <x:f>'Daily Plan'!H15</x:f>
        <x:v>270</x:v>
      </x:c>
      <x:c r="M14" t="str">
        <x:f>IF('Daily Plan'!B15&gt;TODAY(),"",'Daily Plan'!I15)</x:f>
      </x:c>
    </x:row>
    <x:row r="15" ht="24" customHeight="1">
      <x:c r="A15" s="39" t="str">
        <x:v>Paper summary</x:v>
      </x:c>
      <x:c r="B15" s="39"/>
      <x:c r="C15" s="39"/>
      <x:c r="D15" s="39"/>
      <x:c r="E15" s="39"/>
      <x:c r="F15" s="39"/>
      <x:c r="G15" s="39"/>
      <x:c r="H15" s="39"/>
      <x:c r="K15" t="str">
        <x:f>"Day "&amp;'Daily Plan'!A16</x:f>
        <x:v>Day 12</x:v>
      </x:c>
      <x:c r="L15" t="n">
        <x:f>'Daily Plan'!H16</x:f>
        <x:v>270</x:v>
      </x:c>
      <x:c r="M15" t="str">
        <x:f>IF('Daily Plan'!B16&gt;TODAY(),"",'Daily Plan'!I16)</x:f>
      </x:c>
    </x:row>
    <x:row r="16" ht="34" customHeight="1">
      <x:c r="A16" s="16" t="str">
        <x:v>Paper</x:v>
      </x:c>
      <x:c r="B16" s="30" t="str">
        <x:v>Minutes</x:v>
      </x:c>
      <x:c r="C16" s="30" t="str">
        <x:v>Questions</x:v>
      </x:c>
      <x:c r="D16" s="30" t="str">
        <x:v>Marks earned</x:v>
      </x:c>
      <x:c r="E16" s="30" t="str">
        <x:v>Marks available</x:v>
      </x:c>
      <x:c r="F16" s="30" t="str">
        <x:v>Accuracy</x:v>
      </x:c>
      <x:c r="G16" s="30" t="str">
        <x:v>Open errors</x:v>
      </x:c>
      <x:c r="H16" s="17" t="str">
        <x:v>Target</x:v>
      </x:c>
      <x:c r="K16" t="str">
        <x:f>"Day "&amp;'Daily Plan'!A17</x:f>
        <x:v>Day 13</x:v>
      </x:c>
      <x:c r="L16" t="n">
        <x:f>'Daily Plan'!H17</x:f>
        <x:v>270</x:v>
      </x:c>
      <x:c r="M16" t="str">
        <x:f>IF('Daily Plan'!B17&gt;TODAY(),"",'Daily Plan'!I17)</x:f>
      </x:c>
    </x:row>
    <x:row r="17">
      <x:c r="A17" s="161" t="str">
        <x:v>9709/12</x:v>
      </x:c>
      <x:c r="B17" s="170" t="n">
        <x:f>SUMIF('Study Log'!$D$5:$D$204,A17,'Study Log'!$G$5:$G$204)</x:f>
        <x:v>0</x:v>
      </x:c>
      <x:c r="C17" s="170" t="n">
        <x:f>SUMIF('Study Log'!$D$5:$D$204,A17,'Study Log'!$H$5:$H$204)</x:f>
        <x:v>0</x:v>
      </x:c>
      <x:c r="D17" s="170" t="n">
        <x:f>SUMIF('Study Log'!$D$5:$D$204,A17,'Study Log'!$I$5:$I$204)</x:f>
        <x:v>0</x:v>
      </x:c>
      <x:c r="E17" s="170" t="n">
        <x:f>SUMIF('Study Log'!$D$5:$D$204,A17,'Study Log'!$J$5:$J$204)</x:f>
        <x:v>0</x:v>
      </x:c>
      <x:c r="F17" s="173" t="str">
        <x:f>IF(E17=0,"",D17/E17)</x:f>
      </x:c>
      <x:c r="G17" s="162" t="n">
        <x:f>COUNTIFS('Mistake Log'!$D$5:$D$104,A17,'Mistake Log'!$M$5:$M$104,"&lt;&gt;Resolved")</x:f>
        <x:v>0</x:v>
      </x:c>
      <x:c r="H17" s="176" t="n">
        <x:f>'Settings'!C13</x:f>
        <x:v>0.8266666666666667</x:v>
      </x:c>
      <x:c r="K17" t="str">
        <x:f>"Day "&amp;'Daily Plan'!A18</x:f>
        <x:v>Day 14</x:v>
      </x:c>
      <x:c r="L17" t="n">
        <x:f>'Daily Plan'!H18</x:f>
        <x:v>270</x:v>
      </x:c>
      <x:c r="M17" t="str">
        <x:f>IF('Daily Plan'!B18&gt;TODAY(),"",'Daily Plan'!I18)</x:f>
      </x:c>
    </x:row>
    <x:row r="18">
      <x:c r="A18" s="164" t="str">
        <x:v>9709/42</x:v>
      </x:c>
      <x:c r="B18" s="171" t="n">
        <x:f>SUMIF('Study Log'!$D$5:$D$204,A18,'Study Log'!$G$5:$G$204)</x:f>
        <x:v>0</x:v>
      </x:c>
      <x:c r="C18" s="171" t="n">
        <x:f>SUMIF('Study Log'!$D$5:$D$204,A18,'Study Log'!$H$5:$H$204)</x:f>
        <x:v>0</x:v>
      </x:c>
      <x:c r="D18" s="171" t="n">
        <x:f>SUMIF('Study Log'!$D$5:$D$204,A18,'Study Log'!$I$5:$I$204)</x:f>
        <x:v>0</x:v>
      </x:c>
      <x:c r="E18" s="171" t="n">
        <x:f>SUMIF('Study Log'!$D$5:$D$204,A18,'Study Log'!$J$5:$J$204)</x:f>
        <x:v>0</x:v>
      </x:c>
      <x:c r="F18" s="174" t="str">
        <x:f>IF(E18=0,"",D18/E18)</x:f>
      </x:c>
      <x:c r="G18" s="165" t="n">
        <x:f>COUNTIFS('Mistake Log'!$D$5:$D$104,A18,'Mistake Log'!$M$5:$M$104,"&lt;&gt;Resolved")</x:f>
        <x:v>0</x:v>
      </x:c>
      <x:c r="H18" s="177" t="n">
        <x:f>'Settings'!C14</x:f>
        <x:v>0.84</x:v>
      </x:c>
      <x:c r="K18" t="str">
        <x:f>"Day "&amp;'Daily Plan'!A19</x:f>
        <x:v>Day 15</x:v>
      </x:c>
      <x:c r="L18" t="n">
        <x:f>'Daily Plan'!H19</x:f>
        <x:v>270</x:v>
      </x:c>
      <x:c r="M18" t="str">
        <x:f>IF('Daily Plan'!B19&gt;TODAY(),"",'Daily Plan'!I19)</x:f>
      </x:c>
    </x:row>
    <x:row r="19">
      <x:c r="A19" s="164" t="str">
        <x:v>9609/12</x:v>
      </x:c>
      <x:c r="B19" s="171" t="n">
        <x:f>SUMIF('Study Log'!$D$5:$D$204,A19,'Study Log'!$G$5:$G$204)</x:f>
        <x:v>0</x:v>
      </x:c>
      <x:c r="C19" s="171" t="n">
        <x:f>SUMIF('Study Log'!$D$5:$D$204,A19,'Study Log'!$H$5:$H$204)</x:f>
        <x:v>0</x:v>
      </x:c>
      <x:c r="D19" s="171" t="n">
        <x:f>SUMIF('Study Log'!$D$5:$D$204,A19,'Study Log'!$I$5:$I$204)</x:f>
        <x:v>0</x:v>
      </x:c>
      <x:c r="E19" s="171" t="n">
        <x:f>SUMIF('Study Log'!$D$5:$D$204,A19,'Study Log'!$J$5:$J$204)</x:f>
        <x:v>0</x:v>
      </x:c>
      <x:c r="F19" s="174" t="str">
        <x:f>IF(E19=0,"",D19/E19)</x:f>
      </x:c>
      <x:c r="G19" s="165" t="n">
        <x:f>COUNTIFS('Mistake Log'!$D$5:$D$104,A19,'Mistake Log'!$M$5:$M$104,"&lt;&gt;Resolved")</x:f>
        <x:v>0</x:v>
      </x:c>
      <x:c r="H19" s="177" t="n">
        <x:f>'Settings'!C15</x:f>
        <x:v>0.85</x:v>
      </x:c>
      <x:c r="K19" t="str">
        <x:f>"Day "&amp;'Daily Plan'!A20</x:f>
        <x:v>Day 16</x:v>
      </x:c>
      <x:c r="L19" t="n">
        <x:f>'Daily Plan'!H20</x:f>
        <x:v>270</x:v>
      </x:c>
      <x:c r="M19" t="str">
        <x:f>IF('Daily Plan'!B20&gt;TODAY(),"",'Daily Plan'!I20)</x:f>
      </x:c>
    </x:row>
    <x:row r="20">
      <x:c r="A20" s="167" t="str">
        <x:v>9609/22</x:v>
      </x:c>
      <x:c r="B20" s="172" t="n">
        <x:f>SUMIF('Study Log'!$D$5:$D$204,A20,'Study Log'!$G$5:$G$204)</x:f>
        <x:v>0</x:v>
      </x:c>
      <x:c r="C20" s="172" t="n">
        <x:f>SUMIF('Study Log'!$D$5:$D$204,A20,'Study Log'!$H$5:$H$204)</x:f>
        <x:v>0</x:v>
      </x:c>
      <x:c r="D20" s="172" t="n">
        <x:f>SUMIF('Study Log'!$D$5:$D$204,A20,'Study Log'!$I$5:$I$204)</x:f>
        <x:v>0</x:v>
      </x:c>
      <x:c r="E20" s="172" t="n">
        <x:f>SUMIF('Study Log'!$D$5:$D$204,A20,'Study Log'!$J$5:$J$204)</x:f>
        <x:v>0</x:v>
      </x:c>
      <x:c r="F20" s="175" t="str">
        <x:f>IF(E20=0,"",D20/E20)</x:f>
      </x:c>
      <x:c r="G20" s="168" t="n">
        <x:f>COUNTIFS('Mistake Log'!$D$5:$D$104,A20,'Mistake Log'!$M$5:$M$104,"&lt;&gt;Resolved")</x:f>
        <x:v>0</x:v>
      </x:c>
      <x:c r="H20" s="178" t="n">
        <x:f>'Settings'!C16</x:f>
        <x:v>0.85</x:v>
      </x:c>
      <x:c r="K20" t="str">
        <x:f>"Day "&amp;'Daily Plan'!A21</x:f>
        <x:v>Day 17</x:v>
      </x:c>
      <x:c r="L20" t="n">
        <x:f>'Daily Plan'!H21</x:f>
        <x:v>270</x:v>
      </x:c>
      <x:c r="M20" t="str">
        <x:f>IF('Daily Plan'!B21&gt;TODAY(),"",'Daily Plan'!I21)</x:f>
      </x:c>
    </x:row>
    <x:row r="21">
      <x:c r="K21" t="str">
        <x:f>"Day "&amp;'Daily Plan'!A22</x:f>
        <x:v>Day 18</x:v>
      </x:c>
      <x:c r="L21" t="n">
        <x:f>'Daily Plan'!H22</x:f>
        <x:v>270</x:v>
      </x:c>
      <x:c r="M21" t="str">
        <x:f>IF('Daily Plan'!B22&gt;TODAY(),"",'Daily Plan'!I22)</x:f>
      </x:c>
    </x:row>
    <x:row r="22">
      <x:c r="K22" t="str">
        <x:f>"Day "&amp;'Daily Plan'!A23</x:f>
        <x:v>Day 19</x:v>
      </x:c>
      <x:c r="L22" t="n">
        <x:f>'Daily Plan'!H23</x:f>
        <x:v>270</x:v>
      </x:c>
      <x:c r="M22" t="str">
        <x:f>IF('Daily Plan'!B23&gt;TODAY(),"",'Daily Plan'!I23)</x:f>
      </x:c>
    </x:row>
    <x:row r="23">
      <x:c r="K23" t="str">
        <x:f>"Day "&amp;'Daily Plan'!A24</x:f>
        <x:v>Day 20</x:v>
      </x:c>
      <x:c r="L23" t="n">
        <x:f>'Daily Plan'!H24</x:f>
        <x:v>270</x:v>
      </x:c>
      <x:c r="M23" t="str">
        <x:f>IF('Daily Plan'!B24&gt;TODAY(),"",'Daily Plan'!I24)</x:f>
      </x:c>
    </x:row>
    <x:row r="24">
      <x:c r="K24" t="str">
        <x:f>"Day "&amp;'Daily Plan'!A25</x:f>
        <x:v>Day 21</x:v>
      </x:c>
      <x:c r="L24" t="n">
        <x:f>'Daily Plan'!H25</x:f>
        <x:v>270</x:v>
      </x:c>
      <x:c r="M24" t="str">
        <x:f>IF('Daily Plan'!B25&gt;TODAY(),"",'Daily Plan'!I25)</x:f>
      </x:c>
    </x:row>
    <x:row r="25">
      <x:c r="K25" t="str">
        <x:f>"Day "&amp;'Daily Plan'!A26</x:f>
        <x:v>Day 22</x:v>
      </x:c>
      <x:c r="L25" t="n">
        <x:f>'Daily Plan'!H26</x:f>
        <x:v>270</x:v>
      </x:c>
      <x:c r="M25" t="str">
        <x:f>IF('Daily Plan'!B26&gt;TODAY(),"",'Daily Plan'!I26)</x:f>
      </x:c>
    </x:row>
    <x:row r="26">
      <x:c r="K26" t="str">
        <x:f>"Day "&amp;'Daily Plan'!A27</x:f>
        <x:v>Day 23</x:v>
      </x:c>
      <x:c r="L26" t="n">
        <x:f>'Daily Plan'!H27</x:f>
        <x:v>270</x:v>
      </x:c>
      <x:c r="M26" t="str">
        <x:f>IF('Daily Plan'!B27&gt;TODAY(),"",'Daily Plan'!I27)</x:f>
      </x:c>
    </x:row>
    <x:row r="27">
      <x:c r="K27" t="str">
        <x:f>"Day "&amp;'Daily Plan'!A28</x:f>
        <x:v>Day 24</x:v>
      </x:c>
      <x:c r="L27" t="n">
        <x:f>'Daily Plan'!H28</x:f>
        <x:v>270</x:v>
      </x:c>
      <x:c r="M27" t="str">
        <x:f>IF('Daily Plan'!B28&gt;TODAY(),"",'Daily Plan'!I28)</x:f>
      </x:c>
    </x:row>
    <x:row r="28">
      <x:c r="K28" t="str">
        <x:f>"Day "&amp;'Daily Plan'!A29</x:f>
        <x:v>Day 25</x:v>
      </x:c>
      <x:c r="L28" t="n">
        <x:f>'Daily Plan'!H29</x:f>
        <x:v>270</x:v>
      </x:c>
      <x:c r="M28" t="str">
        <x:f>IF('Daily Plan'!B29&gt;TODAY(),"",'Daily Plan'!I29)</x:f>
      </x:c>
    </x:row>
    <x:row r="29">
      <x:c r="K29" t="str">
        <x:f>"Day "&amp;'Daily Plan'!A30</x:f>
        <x:v>Day 26</x:v>
      </x:c>
      <x:c r="L29" t="n">
        <x:f>'Daily Plan'!H30</x:f>
        <x:v>270</x:v>
      </x:c>
      <x:c r="M29" t="str">
        <x:f>IF('Daily Plan'!B30&gt;TODAY(),"",'Daily Plan'!I30)</x:f>
      </x:c>
    </x:row>
    <x:row r="30">
      <x:c r="K30" t="str">
        <x:f>"Day "&amp;'Daily Plan'!A31</x:f>
        <x:v>Day 27</x:v>
      </x:c>
      <x:c r="L30" t="n">
        <x:f>'Daily Plan'!H31</x:f>
        <x:v>270</x:v>
      </x:c>
      <x:c r="M30" t="str">
        <x:f>IF('Daily Plan'!B31&gt;TODAY(),"",'Daily Plan'!I31)</x:f>
      </x:c>
    </x:row>
    <x:row r="31">
      <x:c r="K31" t="str">
        <x:f>"Day "&amp;'Daily Plan'!A32</x:f>
        <x:v>Day 28</x:v>
      </x:c>
      <x:c r="L31" t="n">
        <x:f>'Daily Plan'!H32</x:f>
        <x:v>270</x:v>
      </x:c>
      <x:c r="M31" t="str">
        <x:f>IF('Daily Plan'!B32&gt;TODAY(),"",'Daily Plan'!I32)</x:f>
      </x:c>
    </x:row>
    <x:row r="32">
      <x:c r="K32" t="str">
        <x:f>"Day "&amp;'Daily Plan'!A33</x:f>
        <x:v>Day 29</x:v>
      </x:c>
      <x:c r="L32" t="n">
        <x:f>'Daily Plan'!H33</x:f>
        <x:v>270</x:v>
      </x:c>
      <x:c r="M32" t="str">
        <x:f>IF('Daily Plan'!B33&gt;TODAY(),"",'Daily Plan'!I33)</x:f>
      </x:c>
    </x:row>
    <x:row r="33">
      <x:c r="K33" t="str">
        <x:f>"Day "&amp;'Daily Plan'!A34</x:f>
        <x:v>Day 30</x:v>
      </x:c>
      <x:c r="L33" t="n">
        <x:f>'Daily Plan'!H34</x:f>
        <x:v>270</x:v>
      </x:c>
      <x:c r="M33" t="str">
        <x:f>IF('Daily Plan'!B34&gt;TODAY(),"",'Daily Plan'!I34)</x:f>
      </x:c>
    </x:row>
    <x:row r="34">
      <x:c r="K34" t="str">
        <x:f>"Day "&amp;'Daily Plan'!A35</x:f>
        <x:v>Day 31</x:v>
      </x:c>
      <x:c r="L34" t="n">
        <x:f>'Daily Plan'!H35</x:f>
        <x:v>270</x:v>
      </x:c>
      <x:c r="M34" t="str">
        <x:f>IF('Daily Plan'!B35&gt;TODAY(),"",'Daily Plan'!I35)</x:f>
      </x:c>
    </x:row>
    <x:row r="35">
      <x:c r="K35" t="str">
        <x:f>"Day "&amp;'Daily Plan'!A36</x:f>
        <x:v>Day 32</x:v>
      </x:c>
      <x:c r="L35" t="n">
        <x:f>'Daily Plan'!H36</x:f>
        <x:v>270</x:v>
      </x:c>
      <x:c r="M35" t="str">
        <x:f>IF('Daily Plan'!B36&gt;TODAY(),"",'Daily Plan'!I36)</x:f>
      </x:c>
    </x:row>
    <x:row r="36">
      <x:c r="K36" t="str">
        <x:f>"Day "&amp;'Daily Plan'!A37</x:f>
        <x:v>Day 33</x:v>
      </x:c>
      <x:c r="L36" t="n">
        <x:f>'Daily Plan'!H37</x:f>
        <x:v>270</x:v>
      </x:c>
      <x:c r="M36" t="str">
        <x:f>IF('Daily Plan'!B37&gt;TODAY(),"",'Daily Plan'!I37)</x:f>
      </x:c>
    </x:row>
    <x:row r="37">
      <x:c r="K37" t="str">
        <x:f>"Day "&amp;'Daily Plan'!A38</x:f>
        <x:v>Day 34</x:v>
      </x:c>
      <x:c r="L37" t="n">
        <x:f>'Daily Plan'!H38</x:f>
        <x:v>270</x:v>
      </x:c>
      <x:c r="M37" t="str">
        <x:f>IF('Daily Plan'!B38&gt;TODAY(),"",'Daily Plan'!I38)</x:f>
      </x:c>
    </x:row>
    <x:row r="38">
      <x:c r="K38" t="str">
        <x:f>"Day "&amp;'Daily Plan'!A39</x:f>
        <x:v>Day 35</x:v>
      </x:c>
      <x:c r="L38" t="n">
        <x:f>'Daily Plan'!H39</x:f>
        <x:v>270</x:v>
      </x:c>
      <x:c r="M38" t="str">
        <x:f>IF('Daily Plan'!B39&gt;TODAY(),"",'Daily Plan'!I39)</x:f>
      </x:c>
    </x:row>
    <x:row r="39">
      <x:c r="K39" t="str">
        <x:f>"Day "&amp;'Daily Plan'!A40</x:f>
        <x:v>Day 36</x:v>
      </x:c>
      <x:c r="L39" t="n">
        <x:f>'Daily Plan'!H40</x:f>
        <x:v>270</x:v>
      </x:c>
      <x:c r="M39" t="str">
        <x:f>IF('Daily Plan'!B40&gt;TODAY(),"",'Daily Plan'!I40)</x:f>
      </x:c>
    </x:row>
    <x:row r="40">
      <x:c r="K40" t="str">
        <x:f>"Day "&amp;'Daily Plan'!A41</x:f>
        <x:v>Day 37</x:v>
      </x:c>
      <x:c r="L40" t="n">
        <x:f>'Daily Plan'!H41</x:f>
        <x:v>270</x:v>
      </x:c>
      <x:c r="M40" t="str">
        <x:f>IF('Daily Plan'!B41&gt;TODAY(),"",'Daily Plan'!I41)</x:f>
      </x:c>
    </x:row>
    <x:row r="41">
      <x:c r="K41" t="str">
        <x:f>"Day "&amp;'Daily Plan'!A42</x:f>
        <x:v>Day 38</x:v>
      </x:c>
      <x:c r="L41" t="n">
        <x:f>'Daily Plan'!H42</x:f>
        <x:v>270</x:v>
      </x:c>
      <x:c r="M41" t="str">
        <x:f>IF('Daily Plan'!B42&gt;TODAY(),"",'Daily Plan'!I42)</x:f>
      </x:c>
    </x:row>
    <x:row r="42">
      <x:c r="A42" s="193" t="str">
        <x:v>Daily rule: retrieval → focused subject work → marking and blind redo → log evidence. Watching without practice does not count.</x:v>
      </x:c>
      <x:c r="B42" s="194"/>
      <x:c r="C42" s="194"/>
      <x:c r="D42" s="194"/>
      <x:c r="E42" s="194"/>
      <x:c r="F42" s="194"/>
      <x:c r="G42" s="194"/>
      <x:c r="H42" s="195"/>
      <x:c r="K42" t="str">
        <x:f>"Day "&amp;'Daily Plan'!A43</x:f>
        <x:v>Day 39</x:v>
      </x:c>
      <x:c r="L42" t="n">
        <x:f>'Daily Plan'!H43</x:f>
        <x:v>270</x:v>
      </x:c>
      <x:c r="M42" t="str">
        <x:f>IF('Daily Plan'!B43&gt;TODAY(),"",'Daily Plan'!I43)</x:f>
      </x:c>
    </x:row>
    <x:row r="43">
      <x:c r="A43" s="196"/>
      <x:c r="B43" s="197"/>
      <x:c r="C43" s="197"/>
      <x:c r="D43" s="197"/>
      <x:c r="E43" s="197"/>
      <x:c r="F43" s="197"/>
      <x:c r="G43" s="197"/>
      <x:c r="H43" s="198"/>
      <x:c r="K43" t="str">
        <x:f>"Day "&amp;'Daily Plan'!A44</x:f>
        <x:v>Day 40</x:v>
      </x:c>
      <x:c r="L43" t="n">
        <x:f>'Daily Plan'!H44</x:f>
        <x:v>270</x:v>
      </x:c>
      <x:c r="M43" t="str">
        <x:f>IF('Daily Plan'!B44&gt;TODAY(),"",'Daily Plan'!I44)</x:f>
      </x:c>
    </x:row>
    <x:row r="44">
      <x:c r="K44" t="str">
        <x:f>"Day "&amp;'Daily Plan'!A45</x:f>
        <x:v>Day 41</x:v>
      </x:c>
      <x:c r="L44" t="n">
        <x:f>'Daily Plan'!H45</x:f>
        <x:v>270</x:v>
      </x:c>
      <x:c r="M44" t="str">
        <x:f>IF('Daily Plan'!B45&gt;TODAY(),"",'Daily Plan'!I45)</x:f>
      </x:c>
    </x:row>
    <x:row r="45">
      <x:c r="K45" t="str">
        <x:f>"Day "&amp;'Daily Plan'!A46</x:f>
        <x:v>Day 42</x:v>
      </x:c>
      <x:c r="L45" t="n">
        <x:f>'Daily Plan'!H46</x:f>
        <x:v>270</x:v>
      </x:c>
      <x:c r="M45" t="str">
        <x:f>IF('Daily Plan'!B46&gt;TODAY(),"",'Daily Plan'!I46)</x:f>
      </x:c>
    </x:row>
    <x:row r="46">
      <x:c r="K46" t="str">
        <x:f>"Day "&amp;'Daily Plan'!A47</x:f>
        <x:v>Day 43</x:v>
      </x:c>
      <x:c r="L46" t="n">
        <x:f>'Daily Plan'!H47</x:f>
        <x:v>270</x:v>
      </x:c>
      <x:c r="M46" t="str">
        <x:f>IF('Daily Plan'!B47&gt;TODAY(),"",'Daily Plan'!I47)</x:f>
      </x:c>
    </x:row>
    <x:row r="47">
      <x:c r="K47" t="str">
        <x:f>"Day "&amp;'Daily Plan'!A48</x:f>
        <x:v>Day 44</x:v>
      </x:c>
      <x:c r="L47" t="n">
        <x:f>'Daily Plan'!H48</x:f>
        <x:v>270</x:v>
      </x:c>
      <x:c r="M47" t="str">
        <x:f>IF('Daily Plan'!B48&gt;TODAY(),"",'Daily Plan'!I48)</x:f>
      </x:c>
    </x:row>
    <x:row r="48">
      <x:c r="K48" t="str">
        <x:f>"Day "&amp;'Daily Plan'!A49</x:f>
        <x:v>Day 45</x:v>
      </x:c>
      <x:c r="L48" t="n">
        <x:f>'Daily Plan'!H49</x:f>
        <x:v>120</x:v>
      </x:c>
      <x:c r="M48" t="str">
        <x:f>IF('Daily Plan'!B49&gt;TODAY(),"",'Daily Plan'!I49)</x:f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9:B9"/>
    <x:mergeCell ref="A10:B10"/>
    <x:mergeCell ref="A11:B11"/>
    <x:mergeCell ref="A12:B12"/>
    <x:mergeCell ref="C9:H9"/>
    <x:mergeCell ref="C10:H10"/>
    <x:mergeCell ref="C11:H11"/>
    <x:mergeCell ref="C12:H12"/>
    <x:mergeCell ref="A13:B13"/>
    <x:mergeCell ref="D13:E13"/>
    <x:mergeCell ref="A15:H15"/>
    <x:mergeCell ref="A42:H43"/>
  </x:mergeCells>
  <x:conditionalFormatting sqref="H13:H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17:F20">
    <x:cfRule type="expression" dxfId="8" priority="2">
      <x:formula>AND($E17&gt;0,$F17&lt;0.65)</x:formula>
    </x:cfRule>
    <x:cfRule type="expression" dxfId="9" priority="3">
      <x:formula>AND($E17&gt;0,$F17&gt;=0.65,$F17&lt;$H17)</x:formula>
    </x:cfRule>
    <x:cfRule type="expression" dxfId="10" priority="4">
      <x:formula>AND($E17&gt;0,$F17&gt;=$H17)</x:formula>
    </x:cfRule>
  </x:conditionalFormatting>
  <x:pageMargins left="0.7" right="0.7" top="0.75" bottom="0.75" header="0.3" footer="0.3"/>
  <x:drawing xmlns:r="http://schemas.openxmlformats.org/officeDocument/2006/relationships" r:id="R8a204c7e91f8433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H13:H13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23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0" hidden="0" customWidth="1"/>
  </x:cols>
  <x:sheetData>
    <x:row r="1" ht="34" customHeight="1">
      <x:c r="A1" s="3" t="str">
        <x:v>45-Day Daily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The fixed phase structure is preloaded; exact questions should adapt to diagnostic results and the mistake log.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6" t="str">
        <x:v>Day</x:v>
      </x:c>
      <x:c r="B4" s="30" t="str">
        <x:v>Date</x:v>
      </x:c>
      <x:c r="C4" s="30" t="str">
        <x:v>Phase</x:v>
      </x:c>
      <x:c r="D4" s="30" t="str">
        <x:v>Day priority</x:v>
      </x:c>
      <x:c r="E4" s="30" t="str">
        <x:v>Pure Mathematics 1</x:v>
      </x:c>
      <x:c r="F4" s="30" t="str">
        <x:v>Business</x:v>
      </x:c>
      <x:c r="G4" s="30" t="str">
        <x:v>Mechanics</x:v>
      </x:c>
      <x:c r="H4" s="30" t="str">
        <x:v>Target min</x:v>
      </x:c>
      <x:c r="I4" s="30" t="str">
        <x:v>Actual min</x:v>
      </x:c>
      <x:c r="J4" s="30" t="str">
        <x:v>Completion</x:v>
      </x:c>
      <x:c r="K4" s="30" t="str">
        <x:v>Status</x:v>
      </x:c>
      <x:c r="L4" s="17" t="str">
        <x:v>Teacher note</x:v>
      </x:c>
    </x:row>
    <x:row r="5" ht="46" customHeight="1">
      <x:c r="A5" s="64" t="n">
        <x:v>1</x:v>
      </x:c>
      <x:c r="B5" s="65" t="n">
        <x:v>46250</x:v>
      </x:c>
      <x:c r="C5" s="66" t="str">
        <x:v>Baseline &amp; setup</x:v>
      </x:c>
      <x:c r="D5" s="60" t="str">
        <x:v>Measure honestly; capture every lost mark</x:v>
      </x:c>
      <x:c r="E5" s="60" t="str">
        <x:v>Timed Paper 1 baseline</x:v>
      </x:c>
      <x:c r="F5" s="60" t="str">
        <x:v>Timed Business Paper 1 baseline</x:v>
      </x:c>
      <x:c r="G5" s="60" t="str">
        <x:v>Formula and modelling diagnostic</x:v>
      </x:c>
      <x:c r="H5" s="67" t="n">
        <x:v>270</x:v>
      </x:c>
      <x:c r="I5" s="75" t="n">
        <x:f>SUMIFS('Study Log'!$G$5:$G$204,'Study Log'!$A$5:$A$204,B5)</x:f>
        <x:v>0</x:v>
      </x:c>
      <x:c r="J5" s="76" t="n">
        <x:f>IF(H5=0,0,MIN(I5/H5,1))</x:f>
        <x:v>0</x:v>
      </x:c>
      <x:c r="K5" s="77" t="str">
        <x:f>IF(I5=0,"Not Started",IF(I5&lt;H5,"In Progress","Complete"))</x:f>
        <x:v>Not Started</x:v>
      </x:c>
      <x:c r="L5" s="71" t="str"/>
    </x:row>
    <x:row r="6" ht="46" customHeight="1">
      <x:c r="A6" s="64" t="n">
        <x:v>2</x:v>
      </x:c>
      <x:c r="B6" s="65" t="n">
        <x:v>46251</x:v>
      </x:c>
      <x:c r="C6" s="66" t="str">
        <x:v>Baseline &amp; setup</x:v>
      </x:c>
      <x:c r="D6" s="60" t="str">
        <x:v>Measure honestly; capture every lost mark</x:v>
      </x:c>
      <x:c r="E6" s="60" t="str">
        <x:v>Mark baseline; blind redo of lost marks</x:v>
      </x:c>
      <x:c r="F6" s="60" t="str">
        <x:v>Timed Business Paper 2 baseline</x:v>
      </x:c>
      <x:c r="G6" s="60" t="str">
        <x:v>Timed Mechanics baseline</x:v>
      </x:c>
      <x:c r="H6" s="67" t="n">
        <x:v>270</x:v>
      </x:c>
      <x:c r="I6" s="75" t="n">
        <x:f>SUMIFS('Study Log'!$G$5:$G$204,'Study Log'!$A$5:$A$204,B6)</x:f>
        <x:v>0</x:v>
      </x:c>
      <x:c r="J6" s="76" t="n">
        <x:f>IF(H6=0,0,MIN(I6/H6,1))</x:f>
        <x:v>0</x:v>
      </x:c>
      <x:c r="K6" s="77" t="str">
        <x:f>IF(I6=0,"Not Started",IF(I6&lt;H6,"In Progress","Complete"))</x:f>
        <x:v>Not Started</x:v>
      </x:c>
      <x:c r="L6" s="71" t="str"/>
    </x:row>
    <x:row r="7" ht="46" customHeight="1">
      <x:c r="A7" s="64" t="n">
        <x:v>3</x:v>
      </x:c>
      <x:c r="B7" s="65" t="n">
        <x:v>46252</x:v>
      </x:c>
      <x:c r="C7" s="66" t="str">
        <x:v>Baseline &amp; setup</x:v>
      </x:c>
      <x:c r="D7" s="60" t="str">
        <x:v>Measure honestly; capture every lost mark</x:v>
      </x:c>
      <x:c r="E7" s="60" t="str">
        <x:v>Formula recall and weakest-topic diagnostic</x:v>
      </x:c>
      <x:c r="F7" s="60" t="str">
        <x:v>Mark baselines; command-word/AO diagnostic</x:v>
      </x:c>
      <x:c r="G7" s="60" t="str">
        <x:v>Mark baseline; force-diagram correction</x:v>
      </x:c>
      <x:c r="H7" s="67" t="n">
        <x:v>270</x:v>
      </x:c>
      <x:c r="I7" s="75" t="n">
        <x:f>SUMIFS('Study Log'!$G$5:$G$204,'Study Log'!$A$5:$A$204,B7)</x:f>
        <x:v>0</x:v>
      </x:c>
      <x:c r="J7" s="76" t="n">
        <x:f>IF(H7=0,0,MIN(I7/H7,1))</x:f>
        <x:v>0</x:v>
      </x:c>
      <x:c r="K7" s="77" t="str">
        <x:f>IF(I7=0,"Not Started",IF(I7&lt;H7,"In Progress","Complete"))</x:f>
        <x:v>Not Started</x:v>
      </x:c>
      <x:c r="L7" s="71" t="str"/>
    </x:row>
    <x:row r="8" ht="46" customHeight="1">
      <x:c r="A8" s="64" t="n">
        <x:v>4</x:v>
      </x:c>
      <x:c r="B8" s="65" t="n">
        <x:v>46253</x:v>
      </x:c>
      <x:c r="C8" s="66" t="str">
        <x:v>Repair &amp; coverage</x:v>
      </x:c>
      <x:c r="D8" s="60" t="str">
        <x:v>Repair weakest objectives; complete coverage</x:v>
      </x:c>
      <x:c r="E8" s="60" t="str">
        <x:v>Quadratics repair + mixed set</x:v>
      </x:c>
      <x:c r="F8" s="60" t="str">
        <x:v>Business and its environment + structured response</x:v>
      </x:c>
      <x:c r="G8" s="60" t="str">
        <x:v>Straight-line kinematics repair</x:v>
      </x:c>
      <x:c r="H8" s="67" t="n">
        <x:v>270</x:v>
      </x:c>
      <x:c r="I8" s="75" t="n">
        <x:f>SUMIFS('Study Log'!$G$5:$G$204,'Study Log'!$A$5:$A$204,B8)</x:f>
        <x:v>0</x:v>
      </x:c>
      <x:c r="J8" s="76" t="n">
        <x:f>IF(H8=0,0,MIN(I8/H8,1))</x:f>
        <x:v>0</x:v>
      </x:c>
      <x:c r="K8" s="77" t="str">
        <x:f>IF(I8=0,"Not Started",IF(I8&lt;H8,"In Progress","Complete"))</x:f>
        <x:v>Not Started</x:v>
      </x:c>
      <x:c r="L8" s="71" t="str"/>
    </x:row>
    <x:row r="9" ht="46" customHeight="1">
      <x:c r="A9" s="64" t="n">
        <x:v>5</x:v>
      </x:c>
      <x:c r="B9" s="65" t="n">
        <x:v>46254</x:v>
      </x:c>
      <x:c r="C9" s="66" t="str">
        <x:v>Repair &amp; coverage</x:v>
      </x:c>
      <x:c r="D9" s="60" t="str">
        <x:v>Repair weakest objectives; complete coverage</x:v>
      </x:c>
      <x:c r="E9" s="60" t="str">
        <x:v>Functions repair + mixed set</x:v>
      </x:c>
      <x:c r="F9" s="60" t="str">
        <x:v>Human resource management + structured response</x:v>
      </x:c>
      <x:c r="G9" s="60" t="str">
        <x:v>Forces and equilibrium repair</x:v>
      </x:c>
      <x:c r="H9" s="67" t="n">
        <x:v>270</x:v>
      </x:c>
      <x:c r="I9" s="75" t="n">
        <x:f>SUMIFS('Study Log'!$G$5:$G$204,'Study Log'!$A$5:$A$204,B9)</x:f>
        <x:v>0</x:v>
      </x:c>
      <x:c r="J9" s="76" t="n">
        <x:f>IF(H9=0,0,MIN(I9/H9,1))</x:f>
        <x:v>0</x:v>
      </x:c>
      <x:c r="K9" s="77" t="str">
        <x:f>IF(I9=0,"Not Started",IF(I9&lt;H9,"In Progress","Complete"))</x:f>
        <x:v>Not Started</x:v>
      </x:c>
      <x:c r="L9" s="71" t="str"/>
    </x:row>
    <x:row r="10" ht="46" customHeight="1">
      <x:c r="A10" s="64" t="n">
        <x:v>6</x:v>
      </x:c>
      <x:c r="B10" s="65" t="n">
        <x:v>46255</x:v>
      </x:c>
      <x:c r="C10" s="66" t="str">
        <x:v>Repair &amp; coverage</x:v>
      </x:c>
      <x:c r="D10" s="60" t="str">
        <x:v>Repair weakest objectives; complete coverage</x:v>
      </x:c>
      <x:c r="E10" s="60" t="str">
        <x:v>Coordinate geometry repair + mixed set</x:v>
      </x:c>
      <x:c r="F10" s="60" t="str">
        <x:v>Marketing + structured response</x:v>
      </x:c>
      <x:c r="G10" s="60" t="str">
        <x:v>Dynamics repair</x:v>
      </x:c>
      <x:c r="H10" s="67" t="n">
        <x:v>270</x:v>
      </x:c>
      <x:c r="I10" s="75" t="n">
        <x:f>SUMIFS('Study Log'!$G$5:$G$204,'Study Log'!$A$5:$A$204,B10)</x:f>
        <x:v>0</x:v>
      </x:c>
      <x:c r="J10" s="76" t="n">
        <x:f>IF(H10=0,0,MIN(I10/H10,1))</x:f>
        <x:v>0</x:v>
      </x:c>
      <x:c r="K10" s="77" t="str">
        <x:f>IF(I10=0,"Not Started",IF(I10&lt;H10,"In Progress","Complete"))</x:f>
        <x:v>Not Started</x:v>
      </x:c>
      <x:c r="L10" s="71" t="str"/>
    </x:row>
    <x:row r="11" ht="46" customHeight="1">
      <x:c r="A11" s="64" t="n">
        <x:v>7</x:v>
      </x:c>
      <x:c r="B11" s="65" t="n">
        <x:v>46256</x:v>
      </x:c>
      <x:c r="C11" s="66" t="str">
        <x:v>Repair &amp; coverage</x:v>
      </x:c>
      <x:c r="D11" s="60" t="str">
        <x:v>Repair weakest objectives; complete coverage</x:v>
      </x:c>
      <x:c r="E11" s="60" t="str">
        <x:v>Circular measure repair + mixed set</x:v>
      </x:c>
      <x:c r="F11" s="60" t="str">
        <x:v>Operations management + structured response</x:v>
      </x:c>
      <x:c r="G11" s="60" t="str">
        <x:v>Energy, work and power repair</x:v>
      </x:c>
      <x:c r="H11" s="67" t="n">
        <x:v>270</x:v>
      </x:c>
      <x:c r="I11" s="75" t="n">
        <x:f>SUMIFS('Study Log'!$G$5:$G$204,'Study Log'!$A$5:$A$204,B11)</x:f>
        <x:v>0</x:v>
      </x:c>
      <x:c r="J11" s="76" t="n">
        <x:f>IF(H11=0,0,MIN(I11/H11,1))</x:f>
        <x:v>0</x:v>
      </x:c>
      <x:c r="K11" s="77" t="str">
        <x:f>IF(I11=0,"Not Started",IF(I11&lt;H11,"In Progress","Complete"))</x:f>
        <x:v>Not Started</x:v>
      </x:c>
      <x:c r="L11" s="71" t="str"/>
    </x:row>
    <x:row r="12" ht="46" customHeight="1">
      <x:c r="A12" s="64" t="n">
        <x:v>8</x:v>
      </x:c>
      <x:c r="B12" s="65" t="n">
        <x:v>46257</x:v>
      </x:c>
      <x:c r="C12" s="66" t="str">
        <x:v>Repair &amp; coverage</x:v>
      </x:c>
      <x:c r="D12" s="60" t="str">
        <x:v>Repair weakest objectives; complete coverage</x:v>
      </x:c>
      <x:c r="E12" s="60" t="str">
        <x:v>Trigonometry repair + mixed set</x:v>
      </x:c>
      <x:c r="F12" s="60" t="str">
        <x:v>Finance and accounting + structured response</x:v>
      </x:c>
      <x:c r="G12" s="60" t="str">
        <x:v>Momentum repair</x:v>
      </x:c>
      <x:c r="H12" s="67" t="n">
        <x:v>270</x:v>
      </x:c>
      <x:c r="I12" s="75" t="n">
        <x:f>SUMIFS('Study Log'!$G$5:$G$204,'Study Log'!$A$5:$A$204,B12)</x:f>
        <x:v>0</x:v>
      </x:c>
      <x:c r="J12" s="76" t="n">
        <x:f>IF(H12=0,0,MIN(I12/H12,1))</x:f>
        <x:v>0</x:v>
      </x:c>
      <x:c r="K12" s="77" t="str">
        <x:f>IF(I12=0,"Not Started",IF(I12&lt;H12,"In Progress","Complete"))</x:f>
        <x:v>Not Started</x:v>
      </x:c>
      <x:c r="L12" s="71" t="str"/>
    </x:row>
    <x:row r="13" ht="46" customHeight="1">
      <x:c r="A13" s="64" t="n">
        <x:v>9</x:v>
      </x:c>
      <x:c r="B13" s="65" t="n">
        <x:v>46258</x:v>
      </x:c>
      <x:c r="C13" s="66" t="str">
        <x:v>Repair &amp; coverage</x:v>
      </x:c>
      <x:c r="D13" s="60" t="str">
        <x:v>Repair weakest objectives; complete coverage</x:v>
      </x:c>
      <x:c r="E13" s="60" t="str">
        <x:v>Series repair + mixed set</x:v>
      </x:c>
      <x:c r="F13" s="60" t="str">
        <x:v>Business and its environment + structured response</x:v>
      </x:c>
      <x:c r="G13" s="60" t="str">
        <x:v>Straight-line kinematics repair</x:v>
      </x:c>
      <x:c r="H13" s="67" t="n">
        <x:v>270</x:v>
      </x:c>
      <x:c r="I13" s="75" t="n">
        <x:f>SUMIFS('Study Log'!$G$5:$G$204,'Study Log'!$A$5:$A$204,B13)</x:f>
        <x:v>0</x:v>
      </x:c>
      <x:c r="J13" s="76" t="n">
        <x:f>IF(H13=0,0,MIN(I13/H13,1))</x:f>
        <x:v>0</x:v>
      </x:c>
      <x:c r="K13" s="77" t="str">
        <x:f>IF(I13=0,"Not Started",IF(I13&lt;H13,"In Progress","Complete"))</x:f>
        <x:v>Not Started</x:v>
      </x:c>
      <x:c r="L13" s="71" t="str"/>
    </x:row>
    <x:row r="14" ht="46" customHeight="1">
      <x:c r="A14" s="64" t="n">
        <x:v>10</x:v>
      </x:c>
      <x:c r="B14" s="65" t="n">
        <x:v>46259</x:v>
      </x:c>
      <x:c r="C14" s="66" t="str">
        <x:v>Repair &amp; coverage</x:v>
      </x:c>
      <x:c r="D14" s="60" t="str">
        <x:v>Repair weakest objectives; complete coverage</x:v>
      </x:c>
      <x:c r="E14" s="60" t="str">
        <x:v>Differentiation repair + mixed set</x:v>
      </x:c>
      <x:c r="F14" s="60" t="str">
        <x:v>Human resource management + structured response</x:v>
      </x:c>
      <x:c r="G14" s="60" t="str">
        <x:v>Forces and equilibrium repair</x:v>
      </x:c>
      <x:c r="H14" s="67" t="n">
        <x:v>270</x:v>
      </x:c>
      <x:c r="I14" s="75" t="n">
        <x:f>SUMIFS('Study Log'!$G$5:$G$204,'Study Log'!$A$5:$A$204,B14)</x:f>
        <x:v>0</x:v>
      </x:c>
      <x:c r="J14" s="76" t="n">
        <x:f>IF(H14=0,0,MIN(I14/H14,1))</x:f>
        <x:v>0</x:v>
      </x:c>
      <x:c r="K14" s="77" t="str">
        <x:f>IF(I14=0,"Not Started",IF(I14&lt;H14,"In Progress","Complete"))</x:f>
        <x:v>Not Started</x:v>
      </x:c>
      <x:c r="L14" s="71" t="str"/>
    </x:row>
    <x:row r="15" ht="46" customHeight="1">
      <x:c r="A15" s="64" t="n">
        <x:v>11</x:v>
      </x:c>
      <x:c r="B15" s="65" t="n">
        <x:v>46260</x:v>
      </x:c>
      <x:c r="C15" s="66" t="str">
        <x:v>Repair &amp; coverage</x:v>
      </x:c>
      <x:c r="D15" s="60" t="str">
        <x:v>Repair weakest objectives; complete coverage</x:v>
      </x:c>
      <x:c r="E15" s="60" t="str">
        <x:v>Integration repair + mixed set</x:v>
      </x:c>
      <x:c r="F15" s="60" t="str">
        <x:v>Marketing + structured response</x:v>
      </x:c>
      <x:c r="G15" s="60" t="str">
        <x:v>Dynamics repair</x:v>
      </x:c>
      <x:c r="H15" s="67" t="n">
        <x:v>270</x:v>
      </x:c>
      <x:c r="I15" s="75" t="n">
        <x:f>SUMIFS('Study Log'!$G$5:$G$204,'Study Log'!$A$5:$A$204,B15)</x:f>
        <x:v>0</x:v>
      </x:c>
      <x:c r="J15" s="76" t="n">
        <x:f>IF(H15=0,0,MIN(I15/H15,1))</x:f>
        <x:v>0</x:v>
      </x:c>
      <x:c r="K15" s="77" t="str">
        <x:f>IF(I15=0,"Not Started",IF(I15&lt;H15,"In Progress","Complete"))</x:f>
        <x:v>Not Started</x:v>
      </x:c>
      <x:c r="L15" s="71" t="str"/>
    </x:row>
    <x:row r="16" ht="46" customHeight="1">
      <x:c r="A16" s="64" t="n">
        <x:v>12</x:v>
      </x:c>
      <x:c r="B16" s="65" t="n">
        <x:v>46261</x:v>
      </x:c>
      <x:c r="C16" s="66" t="str">
        <x:v>Repair &amp; coverage</x:v>
      </x:c>
      <x:c r="D16" s="60" t="str">
        <x:v>Repair weakest objectives; complete coverage</x:v>
      </x:c>
      <x:c r="E16" s="60" t="str">
        <x:v>Quadratics repair + mixed set</x:v>
      </x:c>
      <x:c r="F16" s="60" t="str">
        <x:v>Operations management + structured response</x:v>
      </x:c>
      <x:c r="G16" s="60" t="str">
        <x:v>Energy, work and power repair</x:v>
      </x:c>
      <x:c r="H16" s="67" t="n">
        <x:v>270</x:v>
      </x:c>
      <x:c r="I16" s="75" t="n">
        <x:f>SUMIFS('Study Log'!$G$5:$G$204,'Study Log'!$A$5:$A$204,B16)</x:f>
        <x:v>0</x:v>
      </x:c>
      <x:c r="J16" s="76" t="n">
        <x:f>IF(H16=0,0,MIN(I16/H16,1))</x:f>
        <x:v>0</x:v>
      </x:c>
      <x:c r="K16" s="77" t="str">
        <x:f>IF(I16=0,"Not Started",IF(I16&lt;H16,"In Progress","Complete"))</x:f>
        <x:v>Not Started</x:v>
      </x:c>
      <x:c r="L16" s="71" t="str"/>
    </x:row>
    <x:row r="17" ht="46" customHeight="1">
      <x:c r="A17" s="64" t="n">
        <x:v>13</x:v>
      </x:c>
      <x:c r="B17" s="65" t="n">
        <x:v>46262</x:v>
      </x:c>
      <x:c r="C17" s="66" t="str">
        <x:v>Repair &amp; coverage</x:v>
      </x:c>
      <x:c r="D17" s="60" t="str">
        <x:v>Repair weakest objectives; complete coverage</x:v>
      </x:c>
      <x:c r="E17" s="60" t="str">
        <x:v>Functions repair + mixed set</x:v>
      </x:c>
      <x:c r="F17" s="60" t="str">
        <x:v>Finance and accounting + structured response</x:v>
      </x:c>
      <x:c r="G17" s="60" t="str">
        <x:v>Momentum repair</x:v>
      </x:c>
      <x:c r="H17" s="67" t="n">
        <x:v>270</x:v>
      </x:c>
      <x:c r="I17" s="75" t="n">
        <x:f>SUMIFS('Study Log'!$G$5:$G$204,'Study Log'!$A$5:$A$204,B17)</x:f>
        <x:v>0</x:v>
      </x:c>
      <x:c r="J17" s="76" t="n">
        <x:f>IF(H17=0,0,MIN(I17/H17,1))</x:f>
        <x:v>0</x:v>
      </x:c>
      <x:c r="K17" s="77" t="str">
        <x:f>IF(I17=0,"Not Started",IF(I17&lt;H17,"In Progress","Complete"))</x:f>
        <x:v>Not Started</x:v>
      </x:c>
      <x:c r="L17" s="71" t="str"/>
    </x:row>
    <x:row r="18" ht="46" customHeight="1">
      <x:c r="A18" s="64" t="n">
        <x:v>14</x:v>
      </x:c>
      <x:c r="B18" s="65" t="n">
        <x:v>46263</x:v>
      </x:c>
      <x:c r="C18" s="66" t="str">
        <x:v>Repair &amp; coverage</x:v>
      </x:c>
      <x:c r="D18" s="60" t="str">
        <x:v>Repair weakest objectives; complete coverage</x:v>
      </x:c>
      <x:c r="E18" s="60" t="str">
        <x:v>Coordinate geometry repair + mixed set</x:v>
      </x:c>
      <x:c r="F18" s="60" t="str">
        <x:v>Business and its environment + structured response</x:v>
      </x:c>
      <x:c r="G18" s="60" t="str">
        <x:v>Straight-line kinematics repair</x:v>
      </x:c>
      <x:c r="H18" s="67" t="n">
        <x:v>270</x:v>
      </x:c>
      <x:c r="I18" s="75" t="n">
        <x:f>SUMIFS('Study Log'!$G$5:$G$204,'Study Log'!$A$5:$A$204,B18)</x:f>
        <x:v>0</x:v>
      </x:c>
      <x:c r="J18" s="76" t="n">
        <x:f>IF(H18=0,0,MIN(I18/H18,1))</x:f>
        <x:v>0</x:v>
      </x:c>
      <x:c r="K18" s="77" t="str">
        <x:f>IF(I18=0,"Not Started",IF(I18&lt;H18,"In Progress","Complete"))</x:f>
        <x:v>Not Started</x:v>
      </x:c>
      <x:c r="L18" s="71" t="str"/>
    </x:row>
    <x:row r="19" ht="46" customHeight="1">
      <x:c r="A19" s="64" t="n">
        <x:v>15</x:v>
      </x:c>
      <x:c r="B19" s="65" t="n">
        <x:v>46264</x:v>
      </x:c>
      <x:c r="C19" s="66" t="str">
        <x:v>Repair &amp; coverage</x:v>
      </x:c>
      <x:c r="D19" s="60" t="str">
        <x:v>Repair weakest objectives; complete coverage</x:v>
      </x:c>
      <x:c r="E19" s="60" t="str">
        <x:v>Circular measure repair + mixed set</x:v>
      </x:c>
      <x:c r="F19" s="60" t="str">
        <x:v>Human resource management + structured response</x:v>
      </x:c>
      <x:c r="G19" s="60" t="str">
        <x:v>Forces and equilibrium repair</x:v>
      </x:c>
      <x:c r="H19" s="67" t="n">
        <x:v>270</x:v>
      </x:c>
      <x:c r="I19" s="75" t="n">
        <x:f>SUMIFS('Study Log'!$G$5:$G$204,'Study Log'!$A$5:$A$204,B19)</x:f>
        <x:v>0</x:v>
      </x:c>
      <x:c r="J19" s="76" t="n">
        <x:f>IF(H19=0,0,MIN(I19/H19,1))</x:f>
        <x:v>0</x:v>
      </x:c>
      <x:c r="K19" s="77" t="str">
        <x:f>IF(I19=0,"Not Started",IF(I19&lt;H19,"In Progress","Complete"))</x:f>
        <x:v>Not Started</x:v>
      </x:c>
      <x:c r="L19" s="71" t="str"/>
    </x:row>
    <x:row r="20" ht="46" customHeight="1">
      <x:c r="A20" s="64" t="n">
        <x:v>16</x:v>
      </x:c>
      <x:c r="B20" s="65" t="n">
        <x:v>46265</x:v>
      </x:c>
      <x:c r="C20" s="66" t="str">
        <x:v>Repair &amp; coverage</x:v>
      </x:c>
      <x:c r="D20" s="60" t="str">
        <x:v>Repair weakest objectives; complete coverage</x:v>
      </x:c>
      <x:c r="E20" s="60" t="str">
        <x:v>Trigonometry repair + mixed set</x:v>
      </x:c>
      <x:c r="F20" s="60" t="str">
        <x:v>Marketing + structured response</x:v>
      </x:c>
      <x:c r="G20" s="60" t="str">
        <x:v>Dynamics repair</x:v>
      </x:c>
      <x:c r="H20" s="67" t="n">
        <x:v>270</x:v>
      </x:c>
      <x:c r="I20" s="75" t="n">
        <x:f>SUMIFS('Study Log'!$G$5:$G$204,'Study Log'!$A$5:$A$204,B20)</x:f>
        <x:v>0</x:v>
      </x:c>
      <x:c r="J20" s="76" t="n">
        <x:f>IF(H20=0,0,MIN(I20/H20,1))</x:f>
        <x:v>0</x:v>
      </x:c>
      <x:c r="K20" s="77" t="str">
        <x:f>IF(I20=0,"Not Started",IF(I20&lt;H20,"In Progress","Complete"))</x:f>
        <x:v>Not Started</x:v>
      </x:c>
      <x:c r="L20" s="71" t="str"/>
    </x:row>
    <x:row r="21" ht="46" customHeight="1">
      <x:c r="A21" s="64" t="n">
        <x:v>17</x:v>
      </x:c>
      <x:c r="B21" s="65" t="n">
        <x:v>46266</x:v>
      </x:c>
      <x:c r="C21" s="66" t="str">
        <x:v>Repair &amp; coverage</x:v>
      </x:c>
      <x:c r="D21" s="60" t="str">
        <x:v>Repair weakest objectives; complete coverage</x:v>
      </x:c>
      <x:c r="E21" s="60" t="str">
        <x:v>Series repair + mixed set</x:v>
      </x:c>
      <x:c r="F21" s="60" t="str">
        <x:v>Operations management + structured response</x:v>
      </x:c>
      <x:c r="G21" s="60" t="str">
        <x:v>Energy, work and power repair</x:v>
      </x:c>
      <x:c r="H21" s="67" t="n">
        <x:v>270</x:v>
      </x:c>
      <x:c r="I21" s="75" t="n">
        <x:f>SUMIFS('Study Log'!$G$5:$G$204,'Study Log'!$A$5:$A$204,B21)</x:f>
        <x:v>0</x:v>
      </x:c>
      <x:c r="J21" s="76" t="n">
        <x:f>IF(H21=0,0,MIN(I21/H21,1))</x:f>
        <x:v>0</x:v>
      </x:c>
      <x:c r="K21" s="77" t="str">
        <x:f>IF(I21=0,"Not Started",IF(I21&lt;H21,"In Progress","Complete"))</x:f>
        <x:v>Not Started</x:v>
      </x:c>
      <x:c r="L21" s="71" t="str"/>
    </x:row>
    <x:row r="22" ht="46" customHeight="1">
      <x:c r="A22" s="64" t="n">
        <x:v>18</x:v>
      </x:c>
      <x:c r="B22" s="65" t="n">
        <x:v>46267</x:v>
      </x:c>
      <x:c r="C22" s="66" t="str">
        <x:v>Interleaving &amp; technique</x:v>
      </x:c>
      <x:c r="D22" s="60" t="str">
        <x:v>Interleave topics; improve timing and transfer</x:v>
      </x:c>
      <x:c r="E22" s="60" t="str">
        <x:v>Timed mixed set + Quadratics review</x:v>
      </x:c>
      <x:c r="F22" s="60" t="str">
        <x:v>Timed case/essay + Business and its environment retrieval</x:v>
      </x:c>
      <x:c r="G22" s="60" t="str">
        <x:v>Mixed timed Mechanics set: Straight-line kinematics</x:v>
      </x:c>
      <x:c r="H22" s="67" t="n">
        <x:v>270</x:v>
      </x:c>
      <x:c r="I22" s="75" t="n">
        <x:f>SUMIFS('Study Log'!$G$5:$G$204,'Study Log'!$A$5:$A$204,B22)</x:f>
        <x:v>0</x:v>
      </x:c>
      <x:c r="J22" s="76" t="n">
        <x:f>IF(H22=0,0,MIN(I22/H22,1))</x:f>
        <x:v>0</x:v>
      </x:c>
      <x:c r="K22" s="77" t="str">
        <x:f>IF(I22=0,"Not Started",IF(I22&lt;H22,"In Progress","Complete"))</x:f>
        <x:v>Not Started</x:v>
      </x:c>
      <x:c r="L22" s="71" t="str"/>
    </x:row>
    <x:row r="23" ht="46" customHeight="1">
      <x:c r="A23" s="64" t="n">
        <x:v>19</x:v>
      </x:c>
      <x:c r="B23" s="65" t="n">
        <x:v>46268</x:v>
      </x:c>
      <x:c r="C23" s="66" t="str">
        <x:v>Interleaving &amp; technique</x:v>
      </x:c>
      <x:c r="D23" s="60" t="str">
        <x:v>Interleave topics; improve timing and transfer</x:v>
      </x:c>
      <x:c r="E23" s="60" t="str">
        <x:v>Timed mixed set + Functions review</x:v>
      </x:c>
      <x:c r="F23" s="60" t="str">
        <x:v>Timed case/essay + Human resource management retrieval</x:v>
      </x:c>
      <x:c r="G23" s="60" t="str">
        <x:v>Mixed timed Mechanics set: Forces and equilibrium</x:v>
      </x:c>
      <x:c r="H23" s="67" t="n">
        <x:v>270</x:v>
      </x:c>
      <x:c r="I23" s="75" t="n">
        <x:f>SUMIFS('Study Log'!$G$5:$G$204,'Study Log'!$A$5:$A$204,B23)</x:f>
        <x:v>0</x:v>
      </x:c>
      <x:c r="J23" s="76" t="n">
        <x:f>IF(H23=0,0,MIN(I23/H23,1))</x:f>
        <x:v>0</x:v>
      </x:c>
      <x:c r="K23" s="77" t="str">
        <x:f>IF(I23=0,"Not Started",IF(I23&lt;H23,"In Progress","Complete"))</x:f>
        <x:v>Not Started</x:v>
      </x:c>
      <x:c r="L23" s="71" t="str"/>
    </x:row>
    <x:row r="24" ht="46" customHeight="1">
      <x:c r="A24" s="64" t="n">
        <x:v>20</x:v>
      </x:c>
      <x:c r="B24" s="65" t="n">
        <x:v>46269</x:v>
      </x:c>
      <x:c r="C24" s="66" t="str">
        <x:v>Interleaving &amp; technique</x:v>
      </x:c>
      <x:c r="D24" s="60" t="str">
        <x:v>Interleave topics; improve timing and transfer</x:v>
      </x:c>
      <x:c r="E24" s="60" t="str">
        <x:v>Timed mixed set + Coordinate geometry review</x:v>
      </x:c>
      <x:c r="F24" s="60" t="str">
        <x:v>Timed case/essay + Marketing retrieval</x:v>
      </x:c>
      <x:c r="G24" s="60" t="str">
        <x:v>Mixed timed Mechanics set: Dynamics</x:v>
      </x:c>
      <x:c r="H24" s="67" t="n">
        <x:v>270</x:v>
      </x:c>
      <x:c r="I24" s="75" t="n">
        <x:f>SUMIFS('Study Log'!$G$5:$G$204,'Study Log'!$A$5:$A$204,B24)</x:f>
        <x:v>0</x:v>
      </x:c>
      <x:c r="J24" s="76" t="n">
        <x:f>IF(H24=0,0,MIN(I24/H24,1))</x:f>
        <x:v>0</x:v>
      </x:c>
      <x:c r="K24" s="77" t="str">
        <x:f>IF(I24=0,"Not Started",IF(I24&lt;H24,"In Progress","Complete"))</x:f>
        <x:v>Not Started</x:v>
      </x:c>
      <x:c r="L24" s="71" t="str"/>
    </x:row>
    <x:row r="25" ht="46" customHeight="1">
      <x:c r="A25" s="64" t="n">
        <x:v>21</x:v>
      </x:c>
      <x:c r="B25" s="65" t="n">
        <x:v>46270</x:v>
      </x:c>
      <x:c r="C25" s="66" t="str">
        <x:v>Interleaving &amp; technique</x:v>
      </x:c>
      <x:c r="D25" s="60" t="str">
        <x:v>Interleave topics; improve timing and transfer</x:v>
      </x:c>
      <x:c r="E25" s="60" t="str">
        <x:v>Timed mixed set + Circular measure review</x:v>
      </x:c>
      <x:c r="F25" s="60" t="str">
        <x:v>Timed case/essay + Operations management retrieval</x:v>
      </x:c>
      <x:c r="G25" s="60" t="str">
        <x:v>Mixed timed Mechanics set: Energy, work and power</x:v>
      </x:c>
      <x:c r="H25" s="67" t="n">
        <x:v>270</x:v>
      </x:c>
      <x:c r="I25" s="75" t="n">
        <x:f>SUMIFS('Study Log'!$G$5:$G$204,'Study Log'!$A$5:$A$204,B25)</x:f>
        <x:v>0</x:v>
      </x:c>
      <x:c r="J25" s="76" t="n">
        <x:f>IF(H25=0,0,MIN(I25/H25,1))</x:f>
        <x:v>0</x:v>
      </x:c>
      <x:c r="K25" s="77" t="str">
        <x:f>IF(I25=0,"Not Started",IF(I25&lt;H25,"In Progress","Complete"))</x:f>
        <x:v>Not Started</x:v>
      </x:c>
      <x:c r="L25" s="71" t="str"/>
    </x:row>
    <x:row r="26" ht="46" customHeight="1">
      <x:c r="A26" s="64" t="n">
        <x:v>22</x:v>
      </x:c>
      <x:c r="B26" s="65" t="n">
        <x:v>46271</x:v>
      </x:c>
      <x:c r="C26" s="66" t="str">
        <x:v>Interleaving &amp; technique</x:v>
      </x:c>
      <x:c r="D26" s="60" t="str">
        <x:v>Interleave topics; improve timing and transfer</x:v>
      </x:c>
      <x:c r="E26" s="60" t="str">
        <x:v>Timed mixed set + Trigonometry review</x:v>
      </x:c>
      <x:c r="F26" s="60" t="str">
        <x:v>Timed case/essay + Finance and accounting retrieval</x:v>
      </x:c>
      <x:c r="G26" s="60" t="str">
        <x:v>Mixed timed Mechanics set: Momentum</x:v>
      </x:c>
      <x:c r="H26" s="67" t="n">
        <x:v>270</x:v>
      </x:c>
      <x:c r="I26" s="75" t="n">
        <x:f>SUMIFS('Study Log'!$G$5:$G$204,'Study Log'!$A$5:$A$204,B26)</x:f>
        <x:v>0</x:v>
      </x:c>
      <x:c r="J26" s="76" t="n">
        <x:f>IF(H26=0,0,MIN(I26/H26,1))</x:f>
        <x:v>0</x:v>
      </x:c>
      <x:c r="K26" s="77" t="str">
        <x:f>IF(I26=0,"Not Started",IF(I26&lt;H26,"In Progress","Complete"))</x:f>
        <x:v>Not Started</x:v>
      </x:c>
      <x:c r="L26" s="71" t="str"/>
    </x:row>
    <x:row r="27" ht="46" customHeight="1">
      <x:c r="A27" s="64" t="n">
        <x:v>23</x:v>
      </x:c>
      <x:c r="B27" s="65" t="n">
        <x:v>46272</x:v>
      </x:c>
      <x:c r="C27" s="66" t="str">
        <x:v>Interleaving &amp; technique</x:v>
      </x:c>
      <x:c r="D27" s="60" t="str">
        <x:v>Interleave topics; improve timing and transfer</x:v>
      </x:c>
      <x:c r="E27" s="60" t="str">
        <x:v>Timed mixed set + Series review</x:v>
      </x:c>
      <x:c r="F27" s="60" t="str">
        <x:v>Timed case/essay + Business and its environment retrieval</x:v>
      </x:c>
      <x:c r="G27" s="60" t="str">
        <x:v>Mixed timed Mechanics set: Straight-line kinematics</x:v>
      </x:c>
      <x:c r="H27" s="67" t="n">
        <x:v>270</x:v>
      </x:c>
      <x:c r="I27" s="75" t="n">
        <x:f>SUMIFS('Study Log'!$G$5:$G$204,'Study Log'!$A$5:$A$204,B27)</x:f>
        <x:v>0</x:v>
      </x:c>
      <x:c r="J27" s="76" t="n">
        <x:f>IF(H27=0,0,MIN(I27/H27,1))</x:f>
        <x:v>0</x:v>
      </x:c>
      <x:c r="K27" s="77" t="str">
        <x:f>IF(I27=0,"Not Started",IF(I27&lt;H27,"In Progress","Complete"))</x:f>
        <x:v>Not Started</x:v>
      </x:c>
      <x:c r="L27" s="71" t="str"/>
    </x:row>
    <x:row r="28" ht="46" customHeight="1">
      <x:c r="A28" s="64" t="n">
        <x:v>24</x:v>
      </x:c>
      <x:c r="B28" s="65" t="n">
        <x:v>46273</x:v>
      </x:c>
      <x:c r="C28" s="66" t="str">
        <x:v>Interleaving &amp; technique</x:v>
      </x:c>
      <x:c r="D28" s="60" t="str">
        <x:v>Interleave topics; improve timing and transfer</x:v>
      </x:c>
      <x:c r="E28" s="60" t="str">
        <x:v>Timed mixed set + Differentiation review</x:v>
      </x:c>
      <x:c r="F28" s="60" t="str">
        <x:v>Timed case/essay + Human resource management retrieval</x:v>
      </x:c>
      <x:c r="G28" s="60" t="str">
        <x:v>Mixed timed Mechanics set: Forces and equilibrium</x:v>
      </x:c>
      <x:c r="H28" s="67" t="n">
        <x:v>270</x:v>
      </x:c>
      <x:c r="I28" s="75" t="n">
        <x:f>SUMIFS('Study Log'!$G$5:$G$204,'Study Log'!$A$5:$A$204,B28)</x:f>
        <x:v>0</x:v>
      </x:c>
      <x:c r="J28" s="76" t="n">
        <x:f>IF(H28=0,0,MIN(I28/H28,1))</x:f>
        <x:v>0</x:v>
      </x:c>
      <x:c r="K28" s="77" t="str">
        <x:f>IF(I28=0,"Not Started",IF(I28&lt;H28,"In Progress","Complete"))</x:f>
        <x:v>Not Started</x:v>
      </x:c>
      <x:c r="L28" s="71" t="str"/>
    </x:row>
    <x:row r="29" ht="46" customHeight="1">
      <x:c r="A29" s="64" t="n">
        <x:v>25</x:v>
      </x:c>
      <x:c r="B29" s="65" t="n">
        <x:v>46274</x:v>
      </x:c>
      <x:c r="C29" s="66" t="str">
        <x:v>Interleaving &amp; technique</x:v>
      </x:c>
      <x:c r="D29" s="60" t="str">
        <x:v>Interleave topics; improve timing and transfer</x:v>
      </x:c>
      <x:c r="E29" s="60" t="str">
        <x:v>Timed mixed set + Integration review</x:v>
      </x:c>
      <x:c r="F29" s="60" t="str">
        <x:v>Timed case/essay + Marketing retrieval</x:v>
      </x:c>
      <x:c r="G29" s="60" t="str">
        <x:v>Mixed timed Mechanics set: Dynamics</x:v>
      </x:c>
      <x:c r="H29" s="67" t="n">
        <x:v>270</x:v>
      </x:c>
      <x:c r="I29" s="75" t="n">
        <x:f>SUMIFS('Study Log'!$G$5:$G$204,'Study Log'!$A$5:$A$204,B29)</x:f>
        <x:v>0</x:v>
      </x:c>
      <x:c r="J29" s="76" t="n">
        <x:f>IF(H29=0,0,MIN(I29/H29,1))</x:f>
        <x:v>0</x:v>
      </x:c>
      <x:c r="K29" s="77" t="str">
        <x:f>IF(I29=0,"Not Started",IF(I29&lt;H29,"In Progress","Complete"))</x:f>
        <x:v>Not Started</x:v>
      </x:c>
      <x:c r="L29" s="71" t="str"/>
    </x:row>
    <x:row r="30" ht="46" customHeight="1">
      <x:c r="A30" s="64" t="n">
        <x:v>26</x:v>
      </x:c>
      <x:c r="B30" s="65" t="n">
        <x:v>46275</x:v>
      </x:c>
      <x:c r="C30" s="66" t="str">
        <x:v>Interleaving &amp; technique</x:v>
      </x:c>
      <x:c r="D30" s="60" t="str">
        <x:v>Interleave topics; improve timing and transfer</x:v>
      </x:c>
      <x:c r="E30" s="60" t="str">
        <x:v>Timed mixed set + Quadratics review</x:v>
      </x:c>
      <x:c r="F30" s="60" t="str">
        <x:v>Timed case/essay + Operations management retrieval</x:v>
      </x:c>
      <x:c r="G30" s="60" t="str">
        <x:v>Mixed timed Mechanics set: Energy, work and power</x:v>
      </x:c>
      <x:c r="H30" s="67" t="n">
        <x:v>270</x:v>
      </x:c>
      <x:c r="I30" s="75" t="n">
        <x:f>SUMIFS('Study Log'!$G$5:$G$204,'Study Log'!$A$5:$A$204,B30)</x:f>
        <x:v>0</x:v>
      </x:c>
      <x:c r="J30" s="76" t="n">
        <x:f>IF(H30=0,0,MIN(I30/H30,1))</x:f>
        <x:v>0</x:v>
      </x:c>
      <x:c r="K30" s="77" t="str">
        <x:f>IF(I30=0,"Not Started",IF(I30&lt;H30,"In Progress","Complete"))</x:f>
        <x:v>Not Started</x:v>
      </x:c>
      <x:c r="L30" s="71" t="str"/>
    </x:row>
    <x:row r="31" ht="46" customHeight="1">
      <x:c r="A31" s="64" t="n">
        <x:v>27</x:v>
      </x:c>
      <x:c r="B31" s="65" t="n">
        <x:v>46276</x:v>
      </x:c>
      <x:c r="C31" s="66" t="str">
        <x:v>Interleaving &amp; technique</x:v>
      </x:c>
      <x:c r="D31" s="60" t="str">
        <x:v>Interleave topics; improve timing and transfer</x:v>
      </x:c>
      <x:c r="E31" s="60" t="str">
        <x:v>Timed mixed set + Functions review</x:v>
      </x:c>
      <x:c r="F31" s="60" t="str">
        <x:v>Timed case/essay + Finance and accounting retrieval</x:v>
      </x:c>
      <x:c r="G31" s="60" t="str">
        <x:v>Mixed timed Mechanics set: Momentum</x:v>
      </x:c>
      <x:c r="H31" s="67" t="n">
        <x:v>270</x:v>
      </x:c>
      <x:c r="I31" s="75" t="n">
        <x:f>SUMIFS('Study Log'!$G$5:$G$204,'Study Log'!$A$5:$A$204,B31)</x:f>
        <x:v>0</x:v>
      </x:c>
      <x:c r="J31" s="76" t="n">
        <x:f>IF(H31=0,0,MIN(I31/H31,1))</x:f>
        <x:v>0</x:v>
      </x:c>
      <x:c r="K31" s="77" t="str">
        <x:f>IF(I31=0,"Not Started",IF(I31&lt;H31,"In Progress","Complete"))</x:f>
        <x:v>Not Started</x:v>
      </x:c>
      <x:c r="L31" s="71" t="str"/>
    </x:row>
    <x:row r="32" ht="46" customHeight="1">
      <x:c r="A32" s="64" t="n">
        <x:v>28</x:v>
      </x:c>
      <x:c r="B32" s="65" t="n">
        <x:v>46277</x:v>
      </x:c>
      <x:c r="C32" s="66" t="str">
        <x:v>Interleaving &amp; technique</x:v>
      </x:c>
      <x:c r="D32" s="60" t="str">
        <x:v>Interleave topics; improve timing and transfer</x:v>
      </x:c>
      <x:c r="E32" s="60" t="str">
        <x:v>Timed mixed set + Coordinate geometry review</x:v>
      </x:c>
      <x:c r="F32" s="60" t="str">
        <x:v>Timed case/essay + Business and its environment retrieval</x:v>
      </x:c>
      <x:c r="G32" s="60" t="str">
        <x:v>Mixed timed Mechanics set: Straight-line kinematics</x:v>
      </x:c>
      <x:c r="H32" s="67" t="n">
        <x:v>270</x:v>
      </x:c>
      <x:c r="I32" s="75" t="n">
        <x:f>SUMIFS('Study Log'!$G$5:$G$204,'Study Log'!$A$5:$A$204,B32)</x:f>
        <x:v>0</x:v>
      </x:c>
      <x:c r="J32" s="76" t="n">
        <x:f>IF(H32=0,0,MIN(I32/H32,1))</x:f>
        <x:v>0</x:v>
      </x:c>
      <x:c r="K32" s="77" t="str">
        <x:f>IF(I32=0,"Not Started",IF(I32&lt;H32,"In Progress","Complete"))</x:f>
        <x:v>Not Started</x:v>
      </x:c>
      <x:c r="L32" s="71" t="str"/>
    </x:row>
    <x:row r="33" ht="46" customHeight="1">
      <x:c r="A33" s="64" t="n">
        <x:v>29</x:v>
      </x:c>
      <x:c r="B33" s="65" t="n">
        <x:v>46278</x:v>
      </x:c>
      <x:c r="C33" s="66" t="str">
        <x:v>Interleaving &amp; technique</x:v>
      </x:c>
      <x:c r="D33" s="60" t="str">
        <x:v>Interleave topics; improve timing and transfer</x:v>
      </x:c>
      <x:c r="E33" s="60" t="str">
        <x:v>Timed mixed set + Circular measure review</x:v>
      </x:c>
      <x:c r="F33" s="60" t="str">
        <x:v>Timed case/essay + Human resource management retrieval</x:v>
      </x:c>
      <x:c r="G33" s="60" t="str">
        <x:v>Mixed timed Mechanics set: Forces and equilibrium</x:v>
      </x:c>
      <x:c r="H33" s="67" t="n">
        <x:v>270</x:v>
      </x:c>
      <x:c r="I33" s="75" t="n">
        <x:f>SUMIFS('Study Log'!$G$5:$G$204,'Study Log'!$A$5:$A$204,B33)</x:f>
        <x:v>0</x:v>
      </x:c>
      <x:c r="J33" s="76" t="n">
        <x:f>IF(H33=0,0,MIN(I33/H33,1))</x:f>
        <x:v>0</x:v>
      </x:c>
      <x:c r="K33" s="77" t="str">
        <x:f>IF(I33=0,"Not Started",IF(I33&lt;H33,"In Progress","Complete"))</x:f>
        <x:v>Not Started</x:v>
      </x:c>
      <x:c r="L33" s="71" t="str"/>
    </x:row>
    <x:row r="34" ht="46" customHeight="1">
      <x:c r="A34" s="64" t="n">
        <x:v>30</x:v>
      </x:c>
      <x:c r="B34" s="65" t="n">
        <x:v>46279</x:v>
      </x:c>
      <x:c r="C34" s="66" t="str">
        <x:v>Interleaving &amp; technique</x:v>
      </x:c>
      <x:c r="D34" s="60" t="str">
        <x:v>Interleave topics; improve timing and transfer</x:v>
      </x:c>
      <x:c r="E34" s="60" t="str">
        <x:v>Timed mixed set + Trigonometry review</x:v>
      </x:c>
      <x:c r="F34" s="60" t="str">
        <x:v>Timed case/essay + Marketing retrieval</x:v>
      </x:c>
      <x:c r="G34" s="60" t="str">
        <x:v>Mixed timed Mechanics set: Dynamics</x:v>
      </x:c>
      <x:c r="H34" s="67" t="n">
        <x:v>270</x:v>
      </x:c>
      <x:c r="I34" s="75" t="n">
        <x:f>SUMIFS('Study Log'!$G$5:$G$204,'Study Log'!$A$5:$A$204,B34)</x:f>
        <x:v>0</x:v>
      </x:c>
      <x:c r="J34" s="76" t="n">
        <x:f>IF(H34=0,0,MIN(I34/H34,1))</x:f>
        <x:v>0</x:v>
      </x:c>
      <x:c r="K34" s="77" t="str">
        <x:f>IF(I34=0,"Not Started",IF(I34&lt;H34,"In Progress","Complete"))</x:f>
        <x:v>Not Started</x:v>
      </x:c>
      <x:c r="L34" s="71" t="str"/>
    </x:row>
    <x:row r="35" ht="46" customHeight="1">
      <x:c r="A35" s="64" t="n">
        <x:v>31</x:v>
      </x:c>
      <x:c r="B35" s="65" t="n">
        <x:v>46280</x:v>
      </x:c>
      <x:c r="C35" s="66" t="str">
        <x:v>Full-paper cycle</x:v>
      </x:c>
      <x:c r="D35" s="60" t="str">
        <x:v>Full papers; correction within 24 hours</x:v>
      </x:c>
      <x:c r="E35" s="60" t="str">
        <x:v>Full timed Paper 1</x:v>
      </x:c>
      <x:c r="F35" s="60" t="str">
        <x:v>Timed Business paper/section</x:v>
      </x:c>
      <x:c r="G35" s="60" t="str">
        <x:v>Timed Mechanics section</x:v>
      </x:c>
      <x:c r="H35" s="67" t="n">
        <x:v>270</x:v>
      </x:c>
      <x:c r="I35" s="75" t="n">
        <x:f>SUMIFS('Study Log'!$G$5:$G$204,'Study Log'!$A$5:$A$204,B35)</x:f>
        <x:v>0</x:v>
      </x:c>
      <x:c r="J35" s="76" t="n">
        <x:f>IF(H35=0,0,MIN(I35/H35,1))</x:f>
        <x:v>0</x:v>
      </x:c>
      <x:c r="K35" s="77" t="str">
        <x:f>IF(I35=0,"Not Started",IF(I35&lt;H35,"In Progress","Complete"))</x:f>
        <x:v>Not Started</x:v>
      </x:c>
      <x:c r="L35" s="71" t="str"/>
    </x:row>
    <x:row r="36" ht="46" customHeight="1">
      <x:c r="A36" s="64" t="n">
        <x:v>32</x:v>
      </x:c>
      <x:c r="B36" s="65" t="n">
        <x:v>46281</x:v>
      </x:c>
      <x:c r="C36" s="66" t="str">
        <x:v>Full-paper cycle</x:v>
      </x:c>
      <x:c r="D36" s="60" t="str">
        <x:v>Full papers; correction within 24 hours</x:v>
      </x:c>
      <x:c r="E36" s="60" t="str">
        <x:v>Paper 1 correction + parallel questions</x:v>
      </x:c>
      <x:c r="F36" s="60" t="str">
        <x:v>AO1–AO4 correction + rewrite</x:v>
      </x:c>
      <x:c r="G36" s="60" t="str">
        <x:v>Mechanics error repair + parallel set</x:v>
      </x:c>
      <x:c r="H36" s="67" t="n">
        <x:v>270</x:v>
      </x:c>
      <x:c r="I36" s="75" t="n">
        <x:f>SUMIFS('Study Log'!$G$5:$G$204,'Study Log'!$A$5:$A$204,B36)</x:f>
        <x:v>0</x:v>
      </x:c>
      <x:c r="J36" s="76" t="n">
        <x:f>IF(H36=0,0,MIN(I36/H36,1))</x:f>
        <x:v>0</x:v>
      </x:c>
      <x:c r="K36" s="77" t="str">
        <x:f>IF(I36=0,"Not Started",IF(I36&lt;H36,"In Progress","Complete"))</x:f>
        <x:v>Not Started</x:v>
      </x:c>
      <x:c r="L36" s="71" t="str"/>
    </x:row>
    <x:row r="37" ht="46" customHeight="1">
      <x:c r="A37" s="64" t="n">
        <x:v>33</x:v>
      </x:c>
      <x:c r="B37" s="65" t="n">
        <x:v>46282</x:v>
      </x:c>
      <x:c r="C37" s="66" t="str">
        <x:v>Full-paper cycle</x:v>
      </x:c>
      <x:c r="D37" s="60" t="str">
        <x:v>Full papers; correction within 24 hours</x:v>
      </x:c>
      <x:c r="E37" s="60" t="str">
        <x:v>Full timed Paper 1</x:v>
      </x:c>
      <x:c r="F37" s="60" t="str">
        <x:v>Timed Business paper/section</x:v>
      </x:c>
      <x:c r="G37" s="60" t="str">
        <x:v>Timed Mechanics section</x:v>
      </x:c>
      <x:c r="H37" s="67" t="n">
        <x:v>270</x:v>
      </x:c>
      <x:c r="I37" s="75" t="n">
        <x:f>SUMIFS('Study Log'!$G$5:$G$204,'Study Log'!$A$5:$A$204,B37)</x:f>
        <x:v>0</x:v>
      </x:c>
      <x:c r="J37" s="76" t="n">
        <x:f>IF(H37=0,0,MIN(I37/H37,1))</x:f>
        <x:v>0</x:v>
      </x:c>
      <x:c r="K37" s="77" t="str">
        <x:f>IF(I37=0,"Not Started",IF(I37&lt;H37,"In Progress","Complete"))</x:f>
        <x:v>Not Started</x:v>
      </x:c>
      <x:c r="L37" s="71" t="str"/>
    </x:row>
    <x:row r="38" ht="46" customHeight="1">
      <x:c r="A38" s="64" t="n">
        <x:v>34</x:v>
      </x:c>
      <x:c r="B38" s="65" t="n">
        <x:v>46283</x:v>
      </x:c>
      <x:c r="C38" s="66" t="str">
        <x:v>Full-paper cycle</x:v>
      </x:c>
      <x:c r="D38" s="60" t="str">
        <x:v>Full papers; correction within 24 hours</x:v>
      </x:c>
      <x:c r="E38" s="60" t="str">
        <x:v>Paper 1 correction + parallel questions</x:v>
      </x:c>
      <x:c r="F38" s="60" t="str">
        <x:v>AO1–AO4 correction + rewrite</x:v>
      </x:c>
      <x:c r="G38" s="60" t="str">
        <x:v>Mechanics error repair + parallel set</x:v>
      </x:c>
      <x:c r="H38" s="67" t="n">
        <x:v>270</x:v>
      </x:c>
      <x:c r="I38" s="75" t="n">
        <x:f>SUMIFS('Study Log'!$G$5:$G$204,'Study Log'!$A$5:$A$204,B38)</x:f>
        <x:v>0</x:v>
      </x:c>
      <x:c r="J38" s="76" t="n">
        <x:f>IF(H38=0,0,MIN(I38/H38,1))</x:f>
        <x:v>0</x:v>
      </x:c>
      <x:c r="K38" s="77" t="str">
        <x:f>IF(I38=0,"Not Started",IF(I38&lt;H38,"In Progress","Complete"))</x:f>
        <x:v>Not Started</x:v>
      </x:c>
      <x:c r="L38" s="71" t="str"/>
    </x:row>
    <x:row r="39" ht="46" customHeight="1">
      <x:c r="A39" s="64" t="n">
        <x:v>35</x:v>
      </x:c>
      <x:c r="B39" s="65" t="n">
        <x:v>46284</x:v>
      </x:c>
      <x:c r="C39" s="66" t="str">
        <x:v>Full-paper cycle</x:v>
      </x:c>
      <x:c r="D39" s="60" t="str">
        <x:v>Full papers; correction within 24 hours</x:v>
      </x:c>
      <x:c r="E39" s="60" t="str">
        <x:v>Full timed Paper 1</x:v>
      </x:c>
      <x:c r="F39" s="60" t="str">
        <x:v>Timed Business paper/section</x:v>
      </x:c>
      <x:c r="G39" s="60" t="str">
        <x:v>Timed Mechanics section</x:v>
      </x:c>
      <x:c r="H39" s="67" t="n">
        <x:v>270</x:v>
      </x:c>
      <x:c r="I39" s="75" t="n">
        <x:f>SUMIFS('Study Log'!$G$5:$G$204,'Study Log'!$A$5:$A$204,B39)</x:f>
        <x:v>0</x:v>
      </x:c>
      <x:c r="J39" s="76" t="n">
        <x:f>IF(H39=0,0,MIN(I39/H39,1))</x:f>
        <x:v>0</x:v>
      </x:c>
      <x:c r="K39" s="77" t="str">
        <x:f>IF(I39=0,"Not Started",IF(I39&lt;H39,"In Progress","Complete"))</x:f>
        <x:v>Not Started</x:v>
      </x:c>
      <x:c r="L39" s="71" t="str"/>
    </x:row>
    <x:row r="40" ht="46" customHeight="1">
      <x:c r="A40" s="64" t="n">
        <x:v>36</x:v>
      </x:c>
      <x:c r="B40" s="65" t="n">
        <x:v>46285</x:v>
      </x:c>
      <x:c r="C40" s="66" t="str">
        <x:v>Full-paper cycle</x:v>
      </x:c>
      <x:c r="D40" s="60" t="str">
        <x:v>Full papers; correction within 24 hours</x:v>
      </x:c>
      <x:c r="E40" s="60" t="str">
        <x:v>Paper 1 correction + parallel questions</x:v>
      </x:c>
      <x:c r="F40" s="60" t="str">
        <x:v>AO1–AO4 correction + rewrite</x:v>
      </x:c>
      <x:c r="G40" s="60" t="str">
        <x:v>Mechanics error repair + parallel set</x:v>
      </x:c>
      <x:c r="H40" s="67" t="n">
        <x:v>270</x:v>
      </x:c>
      <x:c r="I40" s="75" t="n">
        <x:f>SUMIFS('Study Log'!$G$5:$G$204,'Study Log'!$A$5:$A$204,B40)</x:f>
        <x:v>0</x:v>
      </x:c>
      <x:c r="J40" s="76" t="n">
        <x:f>IF(H40=0,0,MIN(I40/H40,1))</x:f>
        <x:v>0</x:v>
      </x:c>
      <x:c r="K40" s="77" t="str">
        <x:f>IF(I40=0,"Not Started",IF(I40&lt;H40,"In Progress","Complete"))</x:f>
        <x:v>Not Started</x:v>
      </x:c>
      <x:c r="L40" s="71" t="str"/>
    </x:row>
    <x:row r="41" ht="46" customHeight="1">
      <x:c r="A41" s="64" t="n">
        <x:v>37</x:v>
      </x:c>
      <x:c r="B41" s="65" t="n">
        <x:v>46286</x:v>
      </x:c>
      <x:c r="C41" s="66" t="str">
        <x:v>Full-paper cycle</x:v>
      </x:c>
      <x:c r="D41" s="60" t="str">
        <x:v>Full papers; correction within 24 hours</x:v>
      </x:c>
      <x:c r="E41" s="60" t="str">
        <x:v>Full timed Paper 1</x:v>
      </x:c>
      <x:c r="F41" s="60" t="str">
        <x:v>Timed Business paper/section</x:v>
      </x:c>
      <x:c r="G41" s="60" t="str">
        <x:v>Timed Mechanics section</x:v>
      </x:c>
      <x:c r="H41" s="67" t="n">
        <x:v>270</x:v>
      </x:c>
      <x:c r="I41" s="75" t="n">
        <x:f>SUMIFS('Study Log'!$G$5:$G$204,'Study Log'!$A$5:$A$204,B41)</x:f>
        <x:v>0</x:v>
      </x:c>
      <x:c r="J41" s="76" t="n">
        <x:f>IF(H41=0,0,MIN(I41/H41,1))</x:f>
        <x:v>0</x:v>
      </x:c>
      <x:c r="K41" s="77" t="str">
        <x:f>IF(I41=0,"Not Started",IF(I41&lt;H41,"In Progress","Complete"))</x:f>
        <x:v>Not Started</x:v>
      </x:c>
      <x:c r="L41" s="71" t="str"/>
    </x:row>
    <x:row r="42" ht="46" customHeight="1">
      <x:c r="A42" s="64" t="n">
        <x:v>38</x:v>
      </x:c>
      <x:c r="B42" s="65" t="n">
        <x:v>46287</x:v>
      </x:c>
      <x:c r="C42" s="66" t="str">
        <x:v>Full-paper cycle</x:v>
      </x:c>
      <x:c r="D42" s="60" t="str">
        <x:v>Full papers; correction within 24 hours</x:v>
      </x:c>
      <x:c r="E42" s="60" t="str">
        <x:v>Paper 1 correction + parallel questions</x:v>
      </x:c>
      <x:c r="F42" s="60" t="str">
        <x:v>AO1–AO4 correction + rewrite</x:v>
      </x:c>
      <x:c r="G42" s="60" t="str">
        <x:v>Mechanics error repair + parallel set</x:v>
      </x:c>
      <x:c r="H42" s="67" t="n">
        <x:v>270</x:v>
      </x:c>
      <x:c r="I42" s="75" t="n">
        <x:f>SUMIFS('Study Log'!$G$5:$G$204,'Study Log'!$A$5:$A$204,B42)</x:f>
        <x:v>0</x:v>
      </x:c>
      <x:c r="J42" s="76" t="n">
        <x:f>IF(H42=0,0,MIN(I42/H42,1))</x:f>
        <x:v>0</x:v>
      </x:c>
      <x:c r="K42" s="77" t="str">
        <x:f>IF(I42=0,"Not Started",IF(I42&lt;H42,"In Progress","Complete"))</x:f>
        <x:v>Not Started</x:v>
      </x:c>
      <x:c r="L42" s="71" t="str"/>
    </x:row>
    <x:row r="43" ht="46" customHeight="1">
      <x:c r="A43" s="64" t="n">
        <x:v>39</x:v>
      </x:c>
      <x:c r="B43" s="65" t="n">
        <x:v>46288</x:v>
      </x:c>
      <x:c r="C43" s="66" t="str">
        <x:v>Full-paper cycle</x:v>
      </x:c>
      <x:c r="D43" s="60" t="str">
        <x:v>Full papers; correction within 24 hours</x:v>
      </x:c>
      <x:c r="E43" s="60" t="str">
        <x:v>Full timed Paper 1</x:v>
      </x:c>
      <x:c r="F43" s="60" t="str">
        <x:v>Timed Business paper/section</x:v>
      </x:c>
      <x:c r="G43" s="60" t="str">
        <x:v>Timed Mechanics section</x:v>
      </x:c>
      <x:c r="H43" s="67" t="n">
        <x:v>270</x:v>
      </x:c>
      <x:c r="I43" s="75" t="n">
        <x:f>SUMIFS('Study Log'!$G$5:$G$204,'Study Log'!$A$5:$A$204,B43)</x:f>
        <x:v>0</x:v>
      </x:c>
      <x:c r="J43" s="76" t="n">
        <x:f>IF(H43=0,0,MIN(I43/H43,1))</x:f>
        <x:v>0</x:v>
      </x:c>
      <x:c r="K43" s="77" t="str">
        <x:f>IF(I43=0,"Not Started",IF(I43&lt;H43,"In Progress","Complete"))</x:f>
        <x:v>Not Started</x:v>
      </x:c>
      <x:c r="L43" s="71" t="str"/>
    </x:row>
    <x:row r="44" ht="46" customHeight="1">
      <x:c r="A44" s="64" t="n">
        <x:v>40</x:v>
      </x:c>
      <x:c r="B44" s="65" t="n">
        <x:v>46289</x:v>
      </x:c>
      <x:c r="C44" s="66" t="str">
        <x:v>Full-paper cycle</x:v>
      </x:c>
      <x:c r="D44" s="60" t="str">
        <x:v>Full papers; correction within 24 hours</x:v>
      </x:c>
      <x:c r="E44" s="60" t="str">
        <x:v>Paper 1 correction + parallel questions</x:v>
      </x:c>
      <x:c r="F44" s="60" t="str">
        <x:v>AO1–AO4 correction + rewrite</x:v>
      </x:c>
      <x:c r="G44" s="60" t="str">
        <x:v>Mechanics error repair + parallel set</x:v>
      </x:c>
      <x:c r="H44" s="67" t="n">
        <x:v>270</x:v>
      </x:c>
      <x:c r="I44" s="75" t="n">
        <x:f>SUMIFS('Study Log'!$G$5:$G$204,'Study Log'!$A$5:$A$204,B44)</x:f>
        <x:v>0</x:v>
      </x:c>
      <x:c r="J44" s="76" t="n">
        <x:f>IF(H44=0,0,MIN(I44/H44,1))</x:f>
        <x:v>0</x:v>
      </x:c>
      <x:c r="K44" s="77" t="str">
        <x:f>IF(I44=0,"Not Started",IF(I44&lt;H44,"In Progress","Complete"))</x:f>
        <x:v>Not Started</x:v>
      </x:c>
      <x:c r="L44" s="71" t="str"/>
    </x:row>
    <x:row r="45" ht="46" customHeight="1">
      <x:c r="A45" s="64" t="n">
        <x:v>41</x:v>
      </x:c>
      <x:c r="B45" s="65" t="n">
        <x:v>46290</x:v>
      </x:c>
      <x:c r="C45" s="66" t="str">
        <x:v>P1 peak &amp; taper</x:v>
      </x:c>
      <x:c r="D45" s="60" t="str">
        <x:v>Pure 1 peak; protect sleep and confidence</x:v>
      </x:c>
      <x:c r="E45" s="60" t="str">
        <x:v>Final full Paper 1 + complete correction</x:v>
      </x:c>
      <x:c r="F45" s="60" t="str">
        <x:v>Short Business retrieval + one response plan</x:v>
      </x:c>
      <x:c r="G45" s="60" t="str">
        <x:v>Short Mechanics retrieval + one modelled problem</x:v>
      </x:c>
      <x:c r="H45" s="67" t="n">
        <x:v>270</x:v>
      </x:c>
      <x:c r="I45" s="75" t="n">
        <x:f>SUMIFS('Study Log'!$G$5:$G$204,'Study Log'!$A$5:$A$204,B45)</x:f>
        <x:v>0</x:v>
      </x:c>
      <x:c r="J45" s="76" t="n">
        <x:f>IF(H45=0,0,MIN(I45/H45,1))</x:f>
        <x:v>0</x:v>
      </x:c>
      <x:c r="K45" s="77" t="str">
        <x:f>IF(I45=0,"Not Started",IF(I45&lt;H45,"In Progress","Complete"))</x:f>
        <x:v>Not Started</x:v>
      </x:c>
      <x:c r="L45" s="71" t="str"/>
    </x:row>
    <x:row r="46" ht="46" customHeight="1">
      <x:c r="A46" s="64" t="n">
        <x:v>42</x:v>
      </x:c>
      <x:c r="B46" s="65" t="n">
        <x:v>46291</x:v>
      </x:c>
      <x:c r="C46" s="66" t="str">
        <x:v>P1 peak &amp; taper</x:v>
      </x:c>
      <x:c r="D46" s="60" t="str">
        <x:v>Pure 1 peak; protect sleep and confidence</x:v>
      </x:c>
      <x:c r="E46" s="60" t="str">
        <x:v>Weak-topic hard set + formula retrieval</x:v>
      </x:c>
      <x:c r="F46" s="60" t="str">
        <x:v>Short Business retrieval + one response plan</x:v>
      </x:c>
      <x:c r="G46" s="60" t="str">
        <x:v>Short Mechanics retrieval + one modelled problem</x:v>
      </x:c>
      <x:c r="H46" s="67" t="n">
        <x:v>270</x:v>
      </x:c>
      <x:c r="I46" s="75" t="n">
        <x:f>SUMIFS('Study Log'!$G$5:$G$204,'Study Log'!$A$5:$A$204,B46)</x:f>
        <x:v>0</x:v>
      </x:c>
      <x:c r="J46" s="76" t="n">
        <x:f>IF(H46=0,0,MIN(I46/H46,1))</x:f>
        <x:v>0</x:v>
      </x:c>
      <x:c r="K46" s="77" t="str">
        <x:f>IF(I46=0,"Not Started",IF(I46&lt;H46,"In Progress","Complete"))</x:f>
        <x:v>Not Started</x:v>
      </x:c>
      <x:c r="L46" s="71" t="str"/>
    </x:row>
    <x:row r="47" ht="46" customHeight="1">
      <x:c r="A47" s="64" t="n">
        <x:v>43</x:v>
      </x:c>
      <x:c r="B47" s="65" t="n">
        <x:v>46292</x:v>
      </x:c>
      <x:c r="C47" s="66" t="str">
        <x:v>P1 peak &amp; taper</x:v>
      </x:c>
      <x:c r="D47" s="60" t="str">
        <x:v>Pure 1 peak; protect sleep and confidence</x:v>
      </x:c>
      <x:c r="E47" s="60" t="str">
        <x:v>Selected timed sections + exam routine</x:v>
      </x:c>
      <x:c r="F47" s="60" t="str">
        <x:v>Short Business retrieval + one response plan</x:v>
      </x:c>
      <x:c r="G47" s="60" t="str">
        <x:v>Short Mechanics retrieval + one modelled problem</x:v>
      </x:c>
      <x:c r="H47" s="67" t="n">
        <x:v>270</x:v>
      </x:c>
      <x:c r="I47" s="75" t="n">
        <x:f>SUMIFS('Study Log'!$G$5:$G$204,'Study Log'!$A$5:$A$204,B47)</x:f>
        <x:v>0</x:v>
      </x:c>
      <x:c r="J47" s="76" t="n">
        <x:f>IF(H47=0,0,MIN(I47/H47,1))</x:f>
        <x:v>0</x:v>
      </x:c>
      <x:c r="K47" s="77" t="str">
        <x:f>IF(I47=0,"Not Started",IF(I47&lt;H47,"In Progress","Complete"))</x:f>
        <x:v>Not Started</x:v>
      </x:c>
      <x:c r="L47" s="71" t="str"/>
    </x:row>
    <x:row r="48" ht="46" customHeight="1">
      <x:c r="A48" s="64" t="n">
        <x:v>44</x:v>
      </x:c>
      <x:c r="B48" s="65" t="n">
        <x:v>46293</x:v>
      </x:c>
      <x:c r="C48" s="66" t="str">
        <x:v>P1 peak &amp; taper</x:v>
      </x:c>
      <x:c r="D48" s="60" t="str">
        <x:v>Pure 1 peak; protect sleep and confidence</x:v>
      </x:c>
      <x:c r="E48" s="60" t="str">
        <x:v>Error-log recall; light selected questions</x:v>
      </x:c>
      <x:c r="F48" s="60" t="str">
        <x:v>Short Business retrieval + one response plan</x:v>
      </x:c>
      <x:c r="G48" s="60" t="str">
        <x:v>Short Mechanics retrieval + one modelled problem</x:v>
      </x:c>
      <x:c r="H48" s="67" t="n">
        <x:v>270</x:v>
      </x:c>
      <x:c r="I48" s="75" t="n">
        <x:f>SUMIFS('Study Log'!$G$5:$G$204,'Study Log'!$A$5:$A$204,B48)</x:f>
        <x:v>0</x:v>
      </x:c>
      <x:c r="J48" s="76" t="n">
        <x:f>IF(H48=0,0,MIN(I48/H48,1))</x:f>
        <x:v>0</x:v>
      </x:c>
      <x:c r="K48" s="77" t="str">
        <x:f>IF(I48=0,"Not Started",IF(I48&lt;H48,"In Progress","Complete"))</x:f>
        <x:v>Not Started</x:v>
      </x:c>
      <x:c r="L48" s="71" t="str"/>
    </x:row>
    <x:row r="49" ht="46" customHeight="1">
      <x:c r="A49" s="64" t="n">
        <x:v>45</x:v>
      </x:c>
      <x:c r="B49" s="65" t="n">
        <x:v>46294</x:v>
      </x:c>
      <x:c r="C49" s="66" t="str">
        <x:v>Pure 1 exam day</x:v>
      </x:c>
      <x:c r="D49" s="60" t="str">
        <x:v>Calm execution; brief debrief only</x:v>
      </x:c>
      <x:c r="E49" s="60" t="str">
        <x:v>PURE MATHEMATICS 1 EXAM — warm-up only</x:v>
      </x:c>
      <x:c r="F49" s="60" t="str">
        <x:v>Short Business retrieval + one response plan</x:v>
      </x:c>
      <x:c r="G49" s="60" t="str">
        <x:v>Short Mechanics retrieval + one modelled problem</x:v>
      </x:c>
      <x:c r="H49" s="67" t="n">
        <x:v>120</x:v>
      </x:c>
      <x:c r="I49" s="75" t="n">
        <x:f>SUMIFS('Study Log'!$G$5:$G$204,'Study Log'!$A$5:$A$204,B49)</x:f>
        <x:v>0</x:v>
      </x:c>
      <x:c r="J49" s="76" t="n">
        <x:f>IF(H49=0,0,MIN(I49/H49,1))</x:f>
        <x:v>0</x:v>
      </x:c>
      <x:c r="K49" s="77" t="str">
        <x:f>IF(I49=0,"Not Started",IF(I49&lt;H49,"In Progress","Complete"))</x:f>
        <x:v>Not Started</x:v>
      </x:c>
      <x:c r="L49" s="71" t="str"/>
    </x:row>
  </x:sheetData>
  <x:mergeCells>
    <x:mergeCell ref="A1:L1"/>
    <x:mergeCell ref="A2:L2"/>
  </x:mergeCells>
  <x:conditionalFormatting sqref="J5:J49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{E0F5A0C3-96CF-1649-FB7A-FF5986F108B2}</x14:id>
        </x:ext>
      </x:extLst>
    </x:cfRule>
  </x:conditionalFormatting>
  <x:conditionalFormatting sqref="K5:K49">
    <x:cfRule type="containsText" dxfId="0" priority="2" operator="containsText" text="Complete"/>
    <x:cfRule type="containsText" dxfId="1" priority="3" operator="containsText" text="In Progress"/>
  </x:conditionalFormatting>
  <x:pageMargins left="0.7" right="0.7" top="0.75" bottom="0.75" header="0.3" footer="0.3"/>
  <x:tableParts count="1">
    <x:tablePart xmlns:r="http://schemas.openxmlformats.org/officeDocument/2006/relationships" r:id="R69e9d728272b40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0F5A0C3-96CF-1649-FB7A-FF5986F108B2}">
            <x14:dataBar gradient="1">
              <x14:cfvo type="min"/>
              <x14:cfvo type="max"/>
              <x14:fillColor rgb="FF0F766E"/>
            </x14:dataBar>
          </x14:cfRule>
          <xm:sqref>J5:J49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0" hidden="0" customWidth="1"/>
  </x:cols>
  <x:sheetData>
    <x:row r="1" ht="34" customHeight="1">
      <x:c r="A1" s="3" t="str">
        <x:v>Study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Enter one row per focused session. Breaks do not count. A video session is valid only when followed by practice.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6" t="str">
        <x:v>Date</x:v>
      </x:c>
      <x:c r="B4" s="30" t="str">
        <x:v>Start time</x:v>
      </x:c>
      <x:c r="C4" s="30" t="str">
        <x:v>Subject</x:v>
      </x:c>
      <x:c r="D4" s="30" t="str">
        <x:v>Paper</x:v>
      </x:c>
      <x:c r="E4" s="30" t="str">
        <x:v>Activity</x:v>
      </x:c>
      <x:c r="F4" s="30" t="str">
        <x:v>Topic / objective</x:v>
      </x:c>
      <x:c r="G4" s="30" t="str">
        <x:v>Actual min</x:v>
      </x:c>
      <x:c r="H4" s="30" t="str">
        <x:v>Questions</x:v>
      </x:c>
      <x:c r="I4" s="30" t="str">
        <x:v>Marks earned</x:v>
      </x:c>
      <x:c r="J4" s="30" t="str">
        <x:v>Marks available</x:v>
      </x:c>
      <x:c r="K4" s="30" t="str">
        <x:v>Accuracy</x:v>
      </x:c>
      <x:c r="L4" s="30" t="str">
        <x:v>Confidence 1–5</x:v>
      </x:c>
      <x:c r="M4" s="17" t="str">
        <x:v>Evidence / notes</x:v>
      </x:c>
    </x:row>
    <x:row r="5">
      <x:c r="A5" s="79" t="str"/>
      <x:c r="B5" s="80" t="str"/>
      <x:c r="C5" s="35" t="str"/>
      <x:c r="D5" s="35" t="str"/>
      <x:c r="E5" s="35" t="str"/>
      <x:c r="F5" s="35" t="str"/>
      <x:c r="G5" s="81" t="str"/>
      <x:c r="H5" s="81" t="str"/>
      <x:c r="I5" s="81" t="str"/>
      <x:c r="J5" s="81" t="str"/>
      <x:c r="K5" s="33" t="str">
        <x:f>IF(OR(I5="",J5=""),"",IFERROR(I5/J5,0))</x:f>
      </x:c>
      <x:c r="L5" s="35" t="str"/>
      <x:c r="M5" s="36" t="str"/>
    </x:row>
    <x:row r="6">
      <x:c r="A6" s="79" t="str"/>
      <x:c r="B6" s="80" t="str"/>
      <x:c r="C6" s="35" t="str"/>
      <x:c r="D6" s="35" t="str"/>
      <x:c r="E6" s="35" t="str"/>
      <x:c r="F6" s="35" t="str"/>
      <x:c r="G6" s="81" t="str"/>
      <x:c r="H6" s="81" t="str"/>
      <x:c r="I6" s="81" t="str"/>
      <x:c r="J6" s="81" t="str"/>
      <x:c r="K6" s="33" t="str">
        <x:f>IF(OR(I6="",J6=""),"",IFERROR(I6/J6,0))</x:f>
      </x:c>
      <x:c r="L6" s="35" t="str"/>
      <x:c r="M6" s="36" t="str"/>
    </x:row>
    <x:row r="7">
      <x:c r="A7" s="79" t="str"/>
      <x:c r="B7" s="80" t="str"/>
      <x:c r="C7" s="35" t="str"/>
      <x:c r="D7" s="35" t="str"/>
      <x:c r="E7" s="35" t="str"/>
      <x:c r="F7" s="35" t="str"/>
      <x:c r="G7" s="81" t="str"/>
      <x:c r="H7" s="81" t="str"/>
      <x:c r="I7" s="81" t="str"/>
      <x:c r="J7" s="81" t="str"/>
      <x:c r="K7" s="33" t="str">
        <x:f>IF(OR(I7="",J7=""),"",IFERROR(I7/J7,0))</x:f>
      </x:c>
      <x:c r="L7" s="35" t="str"/>
      <x:c r="M7" s="36" t="str"/>
    </x:row>
    <x:row r="8">
      <x:c r="A8" s="79" t="str"/>
      <x:c r="B8" s="80" t="str"/>
      <x:c r="C8" s="35" t="str"/>
      <x:c r="D8" s="35" t="str"/>
      <x:c r="E8" s="35" t="str"/>
      <x:c r="F8" s="35" t="str"/>
      <x:c r="G8" s="81" t="str"/>
      <x:c r="H8" s="81" t="str"/>
      <x:c r="I8" s="81" t="str"/>
      <x:c r="J8" s="81" t="str"/>
      <x:c r="K8" s="33" t="str">
        <x:f>IF(OR(I8="",J8=""),"",IFERROR(I8/J8,0))</x:f>
      </x:c>
      <x:c r="L8" s="35" t="str"/>
      <x:c r="M8" s="36" t="str"/>
    </x:row>
    <x:row r="9">
      <x:c r="A9" s="79" t="str"/>
      <x:c r="B9" s="80" t="str"/>
      <x:c r="C9" s="35" t="str"/>
      <x:c r="D9" s="35" t="str"/>
      <x:c r="E9" s="35" t="str"/>
      <x:c r="F9" s="35" t="str"/>
      <x:c r="G9" s="81" t="str"/>
      <x:c r="H9" s="81" t="str"/>
      <x:c r="I9" s="81" t="str"/>
      <x:c r="J9" s="81" t="str"/>
      <x:c r="K9" s="33" t="str">
        <x:f>IF(OR(I9="",J9=""),"",IFERROR(I9/J9,0))</x:f>
      </x:c>
      <x:c r="L9" s="35" t="str"/>
      <x:c r="M9" s="36" t="str"/>
    </x:row>
    <x:row r="10">
      <x:c r="A10" s="79" t="str"/>
      <x:c r="B10" s="80" t="str"/>
      <x:c r="C10" s="35" t="str"/>
      <x:c r="D10" s="35" t="str"/>
      <x:c r="E10" s="35" t="str"/>
      <x:c r="F10" s="35" t="str"/>
      <x:c r="G10" s="81" t="str"/>
      <x:c r="H10" s="81" t="str"/>
      <x:c r="I10" s="81" t="str"/>
      <x:c r="J10" s="81" t="str"/>
      <x:c r="K10" s="33" t="str">
        <x:f>IF(OR(I10="",J10=""),"",IFERROR(I10/J10,0))</x:f>
      </x:c>
      <x:c r="L10" s="35" t="str"/>
      <x:c r="M10" s="36" t="str"/>
    </x:row>
    <x:row r="11">
      <x:c r="A11" s="79" t="str"/>
      <x:c r="B11" s="80" t="str"/>
      <x:c r="C11" s="35" t="str"/>
      <x:c r="D11" s="35" t="str"/>
      <x:c r="E11" s="35" t="str"/>
      <x:c r="F11" s="35" t="str"/>
      <x:c r="G11" s="81" t="str"/>
      <x:c r="H11" s="81" t="str"/>
      <x:c r="I11" s="81" t="str"/>
      <x:c r="J11" s="81" t="str"/>
      <x:c r="K11" s="33" t="str">
        <x:f>IF(OR(I11="",J11=""),"",IFERROR(I11/J11,0))</x:f>
      </x:c>
      <x:c r="L11" s="35" t="str"/>
      <x:c r="M11" s="36" t="str"/>
    </x:row>
    <x:row r="12">
      <x:c r="A12" s="79" t="str"/>
      <x:c r="B12" s="80" t="str"/>
      <x:c r="C12" s="35" t="str"/>
      <x:c r="D12" s="35" t="str"/>
      <x:c r="E12" s="35" t="str"/>
      <x:c r="F12" s="35" t="str"/>
      <x:c r="G12" s="81" t="str"/>
      <x:c r="H12" s="81" t="str"/>
      <x:c r="I12" s="81" t="str"/>
      <x:c r="J12" s="81" t="str"/>
      <x:c r="K12" s="33" t="str">
        <x:f>IF(OR(I12="",J12=""),"",IFERROR(I12/J12,0))</x:f>
      </x:c>
      <x:c r="L12" s="35" t="str"/>
      <x:c r="M12" s="36" t="str"/>
    </x:row>
    <x:row r="13">
      <x:c r="A13" s="79" t="str"/>
      <x:c r="B13" s="80" t="str"/>
      <x:c r="C13" s="35" t="str"/>
      <x:c r="D13" s="35" t="str"/>
      <x:c r="E13" s="35" t="str"/>
      <x:c r="F13" s="35" t="str"/>
      <x:c r="G13" s="81" t="str"/>
      <x:c r="H13" s="81" t="str"/>
      <x:c r="I13" s="81" t="str"/>
      <x:c r="J13" s="81" t="str"/>
      <x:c r="K13" s="33" t="str">
        <x:f>IF(OR(I13="",J13=""),"",IFERROR(I13/J13,0))</x:f>
      </x:c>
      <x:c r="L13" s="35" t="str"/>
      <x:c r="M13" s="36" t="str"/>
    </x:row>
    <x:row r="14">
      <x:c r="A14" s="79" t="str"/>
      <x:c r="B14" s="80" t="str"/>
      <x:c r="C14" s="35" t="str"/>
      <x:c r="D14" s="35" t="str"/>
      <x:c r="E14" s="35" t="str"/>
      <x:c r="F14" s="35" t="str"/>
      <x:c r="G14" s="81" t="str"/>
      <x:c r="H14" s="81" t="str"/>
      <x:c r="I14" s="81" t="str"/>
      <x:c r="J14" s="81" t="str"/>
      <x:c r="K14" s="33" t="str">
        <x:f>IF(OR(I14="",J14=""),"",IFERROR(I14/J14,0))</x:f>
      </x:c>
      <x:c r="L14" s="35" t="str"/>
      <x:c r="M14" s="36" t="str"/>
    </x:row>
    <x:row r="15">
      <x:c r="A15" s="79" t="str"/>
      <x:c r="B15" s="80" t="str"/>
      <x:c r="C15" s="35" t="str"/>
      <x:c r="D15" s="35" t="str"/>
      <x:c r="E15" s="35" t="str"/>
      <x:c r="F15" s="35" t="str"/>
      <x:c r="G15" s="81" t="str"/>
      <x:c r="H15" s="81" t="str"/>
      <x:c r="I15" s="81" t="str"/>
      <x:c r="J15" s="81" t="str"/>
      <x:c r="K15" s="33" t="str">
        <x:f>IF(OR(I15="",J15=""),"",IFERROR(I15/J15,0))</x:f>
      </x:c>
      <x:c r="L15" s="35" t="str"/>
      <x:c r="M15" s="36" t="str"/>
    </x:row>
    <x:row r="16">
      <x:c r="A16" s="79" t="str"/>
      <x:c r="B16" s="80" t="str"/>
      <x:c r="C16" s="35" t="str"/>
      <x:c r="D16" s="35" t="str"/>
      <x:c r="E16" s="35" t="str"/>
      <x:c r="F16" s="35" t="str"/>
      <x:c r="G16" s="81" t="str"/>
      <x:c r="H16" s="81" t="str"/>
      <x:c r="I16" s="81" t="str"/>
      <x:c r="J16" s="81" t="str"/>
      <x:c r="K16" s="33" t="str">
        <x:f>IF(OR(I16="",J16=""),"",IFERROR(I16/J16,0))</x:f>
      </x:c>
      <x:c r="L16" s="35" t="str"/>
      <x:c r="M16" s="36" t="str"/>
    </x:row>
    <x:row r="17">
      <x:c r="A17" s="79" t="str"/>
      <x:c r="B17" s="80" t="str"/>
      <x:c r="C17" s="35" t="str"/>
      <x:c r="D17" s="35" t="str"/>
      <x:c r="E17" s="35" t="str"/>
      <x:c r="F17" s="35" t="str"/>
      <x:c r="G17" s="81" t="str"/>
      <x:c r="H17" s="81" t="str"/>
      <x:c r="I17" s="81" t="str"/>
      <x:c r="J17" s="81" t="str"/>
      <x:c r="K17" s="33" t="str">
        <x:f>IF(OR(I17="",J17=""),"",IFERROR(I17/J17,0))</x:f>
      </x:c>
      <x:c r="L17" s="35" t="str"/>
      <x:c r="M17" s="36" t="str"/>
    </x:row>
    <x:row r="18">
      <x:c r="A18" s="79" t="str"/>
      <x:c r="B18" s="80" t="str"/>
      <x:c r="C18" s="35" t="str"/>
      <x:c r="D18" s="35" t="str"/>
      <x:c r="E18" s="35" t="str"/>
      <x:c r="F18" s="35" t="str"/>
      <x:c r="G18" s="81" t="str"/>
      <x:c r="H18" s="81" t="str"/>
      <x:c r="I18" s="81" t="str"/>
      <x:c r="J18" s="81" t="str"/>
      <x:c r="K18" s="33" t="str">
        <x:f>IF(OR(I18="",J18=""),"",IFERROR(I18/J18,0))</x:f>
      </x:c>
      <x:c r="L18" s="35" t="str"/>
      <x:c r="M18" s="36" t="str"/>
    </x:row>
    <x:row r="19">
      <x:c r="A19" s="79" t="str"/>
      <x:c r="B19" s="80" t="str"/>
      <x:c r="C19" s="35" t="str"/>
      <x:c r="D19" s="35" t="str"/>
      <x:c r="E19" s="35" t="str"/>
      <x:c r="F19" s="35" t="str"/>
      <x:c r="G19" s="81" t="str"/>
      <x:c r="H19" s="81" t="str"/>
      <x:c r="I19" s="81" t="str"/>
      <x:c r="J19" s="81" t="str"/>
      <x:c r="K19" s="33" t="str">
        <x:f>IF(OR(I19="",J19=""),"",IFERROR(I19/J19,0))</x:f>
      </x:c>
      <x:c r="L19" s="35" t="str"/>
      <x:c r="M19" s="36" t="str"/>
    </x:row>
    <x:row r="20">
      <x:c r="A20" s="79" t="str"/>
      <x:c r="B20" s="80" t="str"/>
      <x:c r="C20" s="35" t="str"/>
      <x:c r="D20" s="35" t="str"/>
      <x:c r="E20" s="35" t="str"/>
      <x:c r="F20" s="35" t="str"/>
      <x:c r="G20" s="81" t="str"/>
      <x:c r="H20" s="81" t="str"/>
      <x:c r="I20" s="81" t="str"/>
      <x:c r="J20" s="81" t="str"/>
      <x:c r="K20" s="33" t="str">
        <x:f>IF(OR(I20="",J20=""),"",IFERROR(I20/J20,0))</x:f>
      </x:c>
      <x:c r="L20" s="35" t="str"/>
      <x:c r="M20" s="36" t="str"/>
    </x:row>
    <x:row r="21">
      <x:c r="A21" s="79" t="str"/>
      <x:c r="B21" s="80" t="str"/>
      <x:c r="C21" s="35" t="str"/>
      <x:c r="D21" s="35" t="str"/>
      <x:c r="E21" s="35" t="str"/>
      <x:c r="F21" s="35" t="str"/>
      <x:c r="G21" s="81" t="str"/>
      <x:c r="H21" s="81" t="str"/>
      <x:c r="I21" s="81" t="str"/>
      <x:c r="J21" s="81" t="str"/>
      <x:c r="K21" s="33" t="str">
        <x:f>IF(OR(I21="",J21=""),"",IFERROR(I21/J21,0))</x:f>
      </x:c>
      <x:c r="L21" s="35" t="str"/>
      <x:c r="M21" s="36" t="str"/>
    </x:row>
    <x:row r="22">
      <x:c r="A22" s="79" t="str"/>
      <x:c r="B22" s="80" t="str"/>
      <x:c r="C22" s="35" t="str"/>
      <x:c r="D22" s="35" t="str"/>
      <x:c r="E22" s="35" t="str"/>
      <x:c r="F22" s="35" t="str"/>
      <x:c r="G22" s="81" t="str"/>
      <x:c r="H22" s="81" t="str"/>
      <x:c r="I22" s="81" t="str"/>
      <x:c r="J22" s="81" t="str"/>
      <x:c r="K22" s="33" t="str">
        <x:f>IF(OR(I22="",J22=""),"",IFERROR(I22/J22,0))</x:f>
      </x:c>
      <x:c r="L22" s="35" t="str"/>
      <x:c r="M22" s="36" t="str"/>
    </x:row>
    <x:row r="23">
      <x:c r="A23" s="79" t="str"/>
      <x:c r="B23" s="80" t="str"/>
      <x:c r="C23" s="35" t="str"/>
      <x:c r="D23" s="35" t="str"/>
      <x:c r="E23" s="35" t="str"/>
      <x:c r="F23" s="35" t="str"/>
      <x:c r="G23" s="81" t="str"/>
      <x:c r="H23" s="81" t="str"/>
      <x:c r="I23" s="81" t="str"/>
      <x:c r="J23" s="81" t="str"/>
      <x:c r="K23" s="33" t="str">
        <x:f>IF(OR(I23="",J23=""),"",IFERROR(I23/J23,0))</x:f>
      </x:c>
      <x:c r="L23" s="35" t="str"/>
      <x:c r="M23" s="36" t="str"/>
    </x:row>
    <x:row r="24">
      <x:c r="A24" s="79" t="str"/>
      <x:c r="B24" s="80" t="str"/>
      <x:c r="C24" s="35" t="str"/>
      <x:c r="D24" s="35" t="str"/>
      <x:c r="E24" s="35" t="str"/>
      <x:c r="F24" s="35" t="str"/>
      <x:c r="G24" s="81" t="str"/>
      <x:c r="H24" s="81" t="str"/>
      <x:c r="I24" s="81" t="str"/>
      <x:c r="J24" s="81" t="str"/>
      <x:c r="K24" s="33" t="str">
        <x:f>IF(OR(I24="",J24=""),"",IFERROR(I24/J24,0))</x:f>
      </x:c>
      <x:c r="L24" s="35" t="str"/>
      <x:c r="M24" s="36" t="str"/>
    </x:row>
    <x:row r="25">
      <x:c r="A25" s="79" t="str"/>
      <x:c r="B25" s="80" t="str"/>
      <x:c r="C25" s="35" t="str"/>
      <x:c r="D25" s="35" t="str"/>
      <x:c r="E25" s="35" t="str"/>
      <x:c r="F25" s="35" t="str"/>
      <x:c r="G25" s="81" t="str"/>
      <x:c r="H25" s="81" t="str"/>
      <x:c r="I25" s="81" t="str"/>
      <x:c r="J25" s="81" t="str"/>
      <x:c r="K25" s="33" t="str">
        <x:f>IF(OR(I25="",J25=""),"",IFERROR(I25/J25,0))</x:f>
      </x:c>
      <x:c r="L25" s="35" t="str"/>
      <x:c r="M25" s="36" t="str"/>
    </x:row>
    <x:row r="26">
      <x:c r="A26" s="79" t="str"/>
      <x:c r="B26" s="80" t="str"/>
      <x:c r="C26" s="35" t="str"/>
      <x:c r="D26" s="35" t="str"/>
      <x:c r="E26" s="35" t="str"/>
      <x:c r="F26" s="35" t="str"/>
      <x:c r="G26" s="81" t="str"/>
      <x:c r="H26" s="81" t="str"/>
      <x:c r="I26" s="81" t="str"/>
      <x:c r="J26" s="81" t="str"/>
      <x:c r="K26" s="33" t="str">
        <x:f>IF(OR(I26="",J26=""),"",IFERROR(I26/J26,0))</x:f>
      </x:c>
      <x:c r="L26" s="35" t="str"/>
      <x:c r="M26" s="36" t="str"/>
    </x:row>
    <x:row r="27">
      <x:c r="A27" s="79" t="str"/>
      <x:c r="B27" s="80" t="str"/>
      <x:c r="C27" s="35" t="str"/>
      <x:c r="D27" s="35" t="str"/>
      <x:c r="E27" s="35" t="str"/>
      <x:c r="F27" s="35" t="str"/>
      <x:c r="G27" s="81" t="str"/>
      <x:c r="H27" s="81" t="str"/>
      <x:c r="I27" s="81" t="str"/>
      <x:c r="J27" s="81" t="str"/>
      <x:c r="K27" s="33" t="str">
        <x:f>IF(OR(I27="",J27=""),"",IFERROR(I27/J27,0))</x:f>
      </x:c>
      <x:c r="L27" s="35" t="str"/>
      <x:c r="M27" s="36" t="str"/>
    </x:row>
    <x:row r="28">
      <x:c r="A28" s="79" t="str"/>
      <x:c r="B28" s="80" t="str"/>
      <x:c r="C28" s="35" t="str"/>
      <x:c r="D28" s="35" t="str"/>
      <x:c r="E28" s="35" t="str"/>
      <x:c r="F28" s="35" t="str"/>
      <x:c r="G28" s="81" t="str"/>
      <x:c r="H28" s="81" t="str"/>
      <x:c r="I28" s="81" t="str"/>
      <x:c r="J28" s="81" t="str"/>
      <x:c r="K28" s="33" t="str">
        <x:f>IF(OR(I28="",J28=""),"",IFERROR(I28/J28,0))</x:f>
      </x:c>
      <x:c r="L28" s="35" t="str"/>
      <x:c r="M28" s="36" t="str"/>
    </x:row>
    <x:row r="29">
      <x:c r="A29" s="79" t="str"/>
      <x:c r="B29" s="80" t="str"/>
      <x:c r="C29" s="35" t="str"/>
      <x:c r="D29" s="35" t="str"/>
      <x:c r="E29" s="35" t="str"/>
      <x:c r="F29" s="35" t="str"/>
      <x:c r="G29" s="81" t="str"/>
      <x:c r="H29" s="81" t="str"/>
      <x:c r="I29" s="81" t="str"/>
      <x:c r="J29" s="81" t="str"/>
      <x:c r="K29" s="33" t="str">
        <x:f>IF(OR(I29="",J29=""),"",IFERROR(I29/J29,0))</x:f>
      </x:c>
      <x:c r="L29" s="35" t="str"/>
      <x:c r="M29" s="36" t="str"/>
    </x:row>
    <x:row r="30">
      <x:c r="A30" s="79" t="str"/>
      <x:c r="B30" s="80" t="str"/>
      <x:c r="C30" s="35" t="str"/>
      <x:c r="D30" s="35" t="str"/>
      <x:c r="E30" s="35" t="str"/>
      <x:c r="F30" s="35" t="str"/>
      <x:c r="G30" s="81" t="str"/>
      <x:c r="H30" s="81" t="str"/>
      <x:c r="I30" s="81" t="str"/>
      <x:c r="J30" s="81" t="str"/>
      <x:c r="K30" s="33" t="str">
        <x:f>IF(OR(I30="",J30=""),"",IFERROR(I30/J30,0))</x:f>
      </x:c>
      <x:c r="L30" s="35" t="str"/>
      <x:c r="M30" s="36" t="str"/>
    </x:row>
    <x:row r="31">
      <x:c r="A31" s="79" t="str"/>
      <x:c r="B31" s="80" t="str"/>
      <x:c r="C31" s="35" t="str"/>
      <x:c r="D31" s="35" t="str"/>
      <x:c r="E31" s="35" t="str"/>
      <x:c r="F31" s="35" t="str"/>
      <x:c r="G31" s="81" t="str"/>
      <x:c r="H31" s="81" t="str"/>
      <x:c r="I31" s="81" t="str"/>
      <x:c r="J31" s="81" t="str"/>
      <x:c r="K31" s="33" t="str">
        <x:f>IF(OR(I31="",J31=""),"",IFERROR(I31/J31,0))</x:f>
      </x:c>
      <x:c r="L31" s="35" t="str"/>
      <x:c r="M31" s="36" t="str"/>
    </x:row>
    <x:row r="32">
      <x:c r="A32" s="79" t="str"/>
      <x:c r="B32" s="80" t="str"/>
      <x:c r="C32" s="35" t="str"/>
      <x:c r="D32" s="35" t="str"/>
      <x:c r="E32" s="35" t="str"/>
      <x:c r="F32" s="35" t="str"/>
      <x:c r="G32" s="81" t="str"/>
      <x:c r="H32" s="81" t="str"/>
      <x:c r="I32" s="81" t="str"/>
      <x:c r="J32" s="81" t="str"/>
      <x:c r="K32" s="33" t="str">
        <x:f>IF(OR(I32="",J32=""),"",IFERROR(I32/J32,0))</x:f>
      </x:c>
      <x:c r="L32" s="35" t="str"/>
      <x:c r="M32" s="36" t="str"/>
    </x:row>
    <x:row r="33">
      <x:c r="A33" s="79" t="str"/>
      <x:c r="B33" s="80" t="str"/>
      <x:c r="C33" s="35" t="str"/>
      <x:c r="D33" s="35" t="str"/>
      <x:c r="E33" s="35" t="str"/>
      <x:c r="F33" s="35" t="str"/>
      <x:c r="G33" s="81" t="str"/>
      <x:c r="H33" s="81" t="str"/>
      <x:c r="I33" s="81" t="str"/>
      <x:c r="J33" s="81" t="str"/>
      <x:c r="K33" s="33" t="str">
        <x:f>IF(OR(I33="",J33=""),"",IFERROR(I33/J33,0))</x:f>
      </x:c>
      <x:c r="L33" s="35" t="str"/>
      <x:c r="M33" s="36" t="str"/>
    </x:row>
    <x:row r="34">
      <x:c r="A34" s="79" t="str"/>
      <x:c r="B34" s="80" t="str"/>
      <x:c r="C34" s="35" t="str"/>
      <x:c r="D34" s="35" t="str"/>
      <x:c r="E34" s="35" t="str"/>
      <x:c r="F34" s="35" t="str"/>
      <x:c r="G34" s="81" t="str"/>
      <x:c r="H34" s="81" t="str"/>
      <x:c r="I34" s="81" t="str"/>
      <x:c r="J34" s="81" t="str"/>
      <x:c r="K34" s="33" t="str">
        <x:f>IF(OR(I34="",J34=""),"",IFERROR(I34/J34,0))</x:f>
      </x:c>
      <x:c r="L34" s="35" t="str"/>
      <x:c r="M34" s="36" t="str"/>
    </x:row>
    <x:row r="35">
      <x:c r="A35" s="79" t="str"/>
      <x:c r="B35" s="80" t="str"/>
      <x:c r="C35" s="35" t="str"/>
      <x:c r="D35" s="35" t="str"/>
      <x:c r="E35" s="35" t="str"/>
      <x:c r="F35" s="35" t="str"/>
      <x:c r="G35" s="81" t="str"/>
      <x:c r="H35" s="81" t="str"/>
      <x:c r="I35" s="81" t="str"/>
      <x:c r="J35" s="81" t="str"/>
      <x:c r="K35" s="33" t="str">
        <x:f>IF(OR(I35="",J35=""),"",IFERROR(I35/J35,0))</x:f>
      </x:c>
      <x:c r="L35" s="35" t="str"/>
      <x:c r="M35" s="36" t="str"/>
    </x:row>
    <x:row r="36">
      <x:c r="A36" s="79" t="str"/>
      <x:c r="B36" s="80" t="str"/>
      <x:c r="C36" s="35" t="str"/>
      <x:c r="D36" s="35" t="str"/>
      <x:c r="E36" s="35" t="str"/>
      <x:c r="F36" s="35" t="str"/>
      <x:c r="G36" s="81" t="str"/>
      <x:c r="H36" s="81" t="str"/>
      <x:c r="I36" s="81" t="str"/>
      <x:c r="J36" s="81" t="str"/>
      <x:c r="K36" s="33" t="str">
        <x:f>IF(OR(I36="",J36=""),"",IFERROR(I36/J36,0))</x:f>
      </x:c>
      <x:c r="L36" s="35" t="str"/>
      <x:c r="M36" s="36" t="str"/>
    </x:row>
    <x:row r="37">
      <x:c r="A37" s="79" t="str"/>
      <x:c r="B37" s="80" t="str"/>
      <x:c r="C37" s="35" t="str"/>
      <x:c r="D37" s="35" t="str"/>
      <x:c r="E37" s="35" t="str"/>
      <x:c r="F37" s="35" t="str"/>
      <x:c r="G37" s="81" t="str"/>
      <x:c r="H37" s="81" t="str"/>
      <x:c r="I37" s="81" t="str"/>
      <x:c r="J37" s="81" t="str"/>
      <x:c r="K37" s="33" t="str">
        <x:f>IF(OR(I37="",J37=""),"",IFERROR(I37/J37,0))</x:f>
      </x:c>
      <x:c r="L37" s="35" t="str"/>
      <x:c r="M37" s="36" t="str"/>
    </x:row>
    <x:row r="38">
      <x:c r="A38" s="79" t="str"/>
      <x:c r="B38" s="80" t="str"/>
      <x:c r="C38" s="35" t="str"/>
      <x:c r="D38" s="35" t="str"/>
      <x:c r="E38" s="35" t="str"/>
      <x:c r="F38" s="35" t="str"/>
      <x:c r="G38" s="81" t="str"/>
      <x:c r="H38" s="81" t="str"/>
      <x:c r="I38" s="81" t="str"/>
      <x:c r="J38" s="81" t="str"/>
      <x:c r="K38" s="33" t="str">
        <x:f>IF(OR(I38="",J38=""),"",IFERROR(I38/J38,0))</x:f>
      </x:c>
      <x:c r="L38" s="35" t="str"/>
      <x:c r="M38" s="36" t="str"/>
    </x:row>
    <x:row r="39">
      <x:c r="A39" s="79" t="str"/>
      <x:c r="B39" s="80" t="str"/>
      <x:c r="C39" s="35" t="str"/>
      <x:c r="D39" s="35" t="str"/>
      <x:c r="E39" s="35" t="str"/>
      <x:c r="F39" s="35" t="str"/>
      <x:c r="G39" s="81" t="str"/>
      <x:c r="H39" s="81" t="str"/>
      <x:c r="I39" s="81" t="str"/>
      <x:c r="J39" s="81" t="str"/>
      <x:c r="K39" s="33" t="str">
        <x:f>IF(OR(I39="",J39=""),"",IFERROR(I39/J39,0))</x:f>
      </x:c>
      <x:c r="L39" s="35" t="str"/>
      <x:c r="M39" s="36" t="str"/>
    </x:row>
    <x:row r="40">
      <x:c r="A40" s="79" t="str"/>
      <x:c r="B40" s="80" t="str"/>
      <x:c r="C40" s="35" t="str"/>
      <x:c r="D40" s="35" t="str"/>
      <x:c r="E40" s="35" t="str"/>
      <x:c r="F40" s="35" t="str"/>
      <x:c r="G40" s="81" t="str"/>
      <x:c r="H40" s="81" t="str"/>
      <x:c r="I40" s="81" t="str"/>
      <x:c r="J40" s="81" t="str"/>
      <x:c r="K40" s="33" t="str">
        <x:f>IF(OR(I40="",J40=""),"",IFERROR(I40/J40,0))</x:f>
      </x:c>
      <x:c r="L40" s="35" t="str"/>
      <x:c r="M40" s="36" t="str"/>
    </x:row>
    <x:row r="41">
      <x:c r="A41" s="79" t="str"/>
      <x:c r="B41" s="80" t="str"/>
      <x:c r="C41" s="35" t="str"/>
      <x:c r="D41" s="35" t="str"/>
      <x:c r="E41" s="35" t="str"/>
      <x:c r="F41" s="35" t="str"/>
      <x:c r="G41" s="81" t="str"/>
      <x:c r="H41" s="81" t="str"/>
      <x:c r="I41" s="81" t="str"/>
      <x:c r="J41" s="81" t="str"/>
      <x:c r="K41" s="33" t="str">
        <x:f>IF(OR(I41="",J41=""),"",IFERROR(I41/J41,0))</x:f>
      </x:c>
      <x:c r="L41" s="35" t="str"/>
      <x:c r="M41" s="36" t="str"/>
    </x:row>
    <x:row r="42">
      <x:c r="A42" s="79" t="str"/>
      <x:c r="B42" s="80" t="str"/>
      <x:c r="C42" s="35" t="str"/>
      <x:c r="D42" s="35" t="str"/>
      <x:c r="E42" s="35" t="str"/>
      <x:c r="F42" s="35" t="str"/>
      <x:c r="G42" s="81" t="str"/>
      <x:c r="H42" s="81" t="str"/>
      <x:c r="I42" s="81" t="str"/>
      <x:c r="J42" s="81" t="str"/>
      <x:c r="K42" s="33" t="str">
        <x:f>IF(OR(I42="",J42=""),"",IFERROR(I42/J42,0))</x:f>
      </x:c>
      <x:c r="L42" s="35" t="str"/>
      <x:c r="M42" s="36" t="str"/>
    </x:row>
    <x:row r="43">
      <x:c r="A43" s="79" t="str"/>
      <x:c r="B43" s="80" t="str"/>
      <x:c r="C43" s="35" t="str"/>
      <x:c r="D43" s="35" t="str"/>
      <x:c r="E43" s="35" t="str"/>
      <x:c r="F43" s="35" t="str"/>
      <x:c r="G43" s="81" t="str"/>
      <x:c r="H43" s="81" t="str"/>
      <x:c r="I43" s="81" t="str"/>
      <x:c r="J43" s="81" t="str"/>
      <x:c r="K43" s="33" t="str">
        <x:f>IF(OR(I43="",J43=""),"",IFERROR(I43/J43,0))</x:f>
      </x:c>
      <x:c r="L43" s="35" t="str"/>
      <x:c r="M43" s="36" t="str"/>
    </x:row>
    <x:row r="44">
      <x:c r="A44" s="79" t="str"/>
      <x:c r="B44" s="80" t="str"/>
      <x:c r="C44" s="35" t="str"/>
      <x:c r="D44" s="35" t="str"/>
      <x:c r="E44" s="35" t="str"/>
      <x:c r="F44" s="35" t="str"/>
      <x:c r="G44" s="81" t="str"/>
      <x:c r="H44" s="81" t="str"/>
      <x:c r="I44" s="81" t="str"/>
      <x:c r="J44" s="81" t="str"/>
      <x:c r="K44" s="33" t="str">
        <x:f>IF(OR(I44="",J44=""),"",IFERROR(I44/J44,0))</x:f>
      </x:c>
      <x:c r="L44" s="35" t="str"/>
      <x:c r="M44" s="36" t="str"/>
    </x:row>
    <x:row r="45">
      <x:c r="A45" s="79" t="str"/>
      <x:c r="B45" s="80" t="str"/>
      <x:c r="C45" s="35" t="str"/>
      <x:c r="D45" s="35" t="str"/>
      <x:c r="E45" s="35" t="str"/>
      <x:c r="F45" s="35" t="str"/>
      <x:c r="G45" s="81" t="str"/>
      <x:c r="H45" s="81" t="str"/>
      <x:c r="I45" s="81" t="str"/>
      <x:c r="J45" s="81" t="str"/>
      <x:c r="K45" s="33" t="str">
        <x:f>IF(OR(I45="",J45=""),"",IFERROR(I45/J45,0))</x:f>
      </x:c>
      <x:c r="L45" s="35" t="str"/>
      <x:c r="M45" s="36" t="str"/>
    </x:row>
    <x:row r="46">
      <x:c r="A46" s="79" t="str"/>
      <x:c r="B46" s="80" t="str"/>
      <x:c r="C46" s="35" t="str"/>
      <x:c r="D46" s="35" t="str"/>
      <x:c r="E46" s="35" t="str"/>
      <x:c r="F46" s="35" t="str"/>
      <x:c r="G46" s="81" t="str"/>
      <x:c r="H46" s="81" t="str"/>
      <x:c r="I46" s="81" t="str"/>
      <x:c r="J46" s="81" t="str"/>
      <x:c r="K46" s="33" t="str">
        <x:f>IF(OR(I46="",J46=""),"",IFERROR(I46/J46,0))</x:f>
      </x:c>
      <x:c r="L46" s="35" t="str"/>
      <x:c r="M46" s="36" t="str"/>
    </x:row>
    <x:row r="47">
      <x:c r="A47" s="79" t="str"/>
      <x:c r="B47" s="80" t="str"/>
      <x:c r="C47" s="35" t="str"/>
      <x:c r="D47" s="35" t="str"/>
      <x:c r="E47" s="35" t="str"/>
      <x:c r="F47" s="35" t="str"/>
      <x:c r="G47" s="81" t="str"/>
      <x:c r="H47" s="81" t="str"/>
      <x:c r="I47" s="81" t="str"/>
      <x:c r="J47" s="81" t="str"/>
      <x:c r="K47" s="33" t="str">
        <x:f>IF(OR(I47="",J47=""),"",IFERROR(I47/J47,0))</x:f>
      </x:c>
      <x:c r="L47" s="35" t="str"/>
      <x:c r="M47" s="36" t="str"/>
    </x:row>
    <x:row r="48">
      <x:c r="A48" s="79" t="str"/>
      <x:c r="B48" s="80" t="str"/>
      <x:c r="C48" s="35" t="str"/>
      <x:c r="D48" s="35" t="str"/>
      <x:c r="E48" s="35" t="str"/>
      <x:c r="F48" s="35" t="str"/>
      <x:c r="G48" s="81" t="str"/>
      <x:c r="H48" s="81" t="str"/>
      <x:c r="I48" s="81" t="str"/>
      <x:c r="J48" s="81" t="str"/>
      <x:c r="K48" s="33" t="str">
        <x:f>IF(OR(I48="",J48=""),"",IFERROR(I48/J48,0))</x:f>
      </x:c>
      <x:c r="L48" s="35" t="str"/>
      <x:c r="M48" s="36" t="str"/>
    </x:row>
    <x:row r="49">
      <x:c r="A49" s="79" t="str"/>
      <x:c r="B49" s="80" t="str"/>
      <x:c r="C49" s="35" t="str"/>
      <x:c r="D49" s="35" t="str"/>
      <x:c r="E49" s="35" t="str"/>
      <x:c r="F49" s="35" t="str"/>
      <x:c r="G49" s="81" t="str"/>
      <x:c r="H49" s="81" t="str"/>
      <x:c r="I49" s="81" t="str"/>
      <x:c r="J49" s="81" t="str"/>
      <x:c r="K49" s="33" t="str">
        <x:f>IF(OR(I49="",J49=""),"",IFERROR(I49/J49,0))</x:f>
      </x:c>
      <x:c r="L49" s="35" t="str"/>
      <x:c r="M49" s="36" t="str"/>
    </x:row>
    <x:row r="50">
      <x:c r="A50" s="79" t="str"/>
      <x:c r="B50" s="80" t="str"/>
      <x:c r="C50" s="35" t="str"/>
      <x:c r="D50" s="35" t="str"/>
      <x:c r="E50" s="35" t="str"/>
      <x:c r="F50" s="35" t="str"/>
      <x:c r="G50" s="81" t="str"/>
      <x:c r="H50" s="81" t="str"/>
      <x:c r="I50" s="81" t="str"/>
      <x:c r="J50" s="81" t="str"/>
      <x:c r="K50" s="33" t="str">
        <x:f>IF(OR(I50="",J50=""),"",IFERROR(I50/J50,0))</x:f>
      </x:c>
      <x:c r="L50" s="35" t="str"/>
      <x:c r="M50" s="36" t="str"/>
    </x:row>
    <x:row r="51">
      <x:c r="A51" s="79" t="str"/>
      <x:c r="B51" s="80" t="str"/>
      <x:c r="C51" s="35" t="str"/>
      <x:c r="D51" s="35" t="str"/>
      <x:c r="E51" s="35" t="str"/>
      <x:c r="F51" s="35" t="str"/>
      <x:c r="G51" s="81" t="str"/>
      <x:c r="H51" s="81" t="str"/>
      <x:c r="I51" s="81" t="str"/>
      <x:c r="J51" s="81" t="str"/>
      <x:c r="K51" s="33" t="str">
        <x:f>IF(OR(I51="",J51=""),"",IFERROR(I51/J51,0))</x:f>
      </x:c>
      <x:c r="L51" s="35" t="str"/>
      <x:c r="M51" s="36" t="str"/>
    </x:row>
    <x:row r="52">
      <x:c r="A52" s="79" t="str"/>
      <x:c r="B52" s="80" t="str"/>
      <x:c r="C52" s="35" t="str"/>
      <x:c r="D52" s="35" t="str"/>
      <x:c r="E52" s="35" t="str"/>
      <x:c r="F52" s="35" t="str"/>
      <x:c r="G52" s="81" t="str"/>
      <x:c r="H52" s="81" t="str"/>
      <x:c r="I52" s="81" t="str"/>
      <x:c r="J52" s="81" t="str"/>
      <x:c r="K52" s="33" t="str">
        <x:f>IF(OR(I52="",J52=""),"",IFERROR(I52/J52,0))</x:f>
      </x:c>
      <x:c r="L52" s="35" t="str"/>
      <x:c r="M52" s="36" t="str"/>
    </x:row>
    <x:row r="53">
      <x:c r="A53" s="79" t="str"/>
      <x:c r="B53" s="80" t="str"/>
      <x:c r="C53" s="35" t="str"/>
      <x:c r="D53" s="35" t="str"/>
      <x:c r="E53" s="35" t="str"/>
      <x:c r="F53" s="35" t="str"/>
      <x:c r="G53" s="81" t="str"/>
      <x:c r="H53" s="81" t="str"/>
      <x:c r="I53" s="81" t="str"/>
      <x:c r="J53" s="81" t="str"/>
      <x:c r="K53" s="33" t="str">
        <x:f>IF(OR(I53="",J53=""),"",IFERROR(I53/J53,0))</x:f>
      </x:c>
      <x:c r="L53" s="35" t="str"/>
      <x:c r="M53" s="36" t="str"/>
    </x:row>
    <x:row r="54">
      <x:c r="A54" s="79" t="str"/>
      <x:c r="B54" s="80" t="str"/>
      <x:c r="C54" s="35" t="str"/>
      <x:c r="D54" s="35" t="str"/>
      <x:c r="E54" s="35" t="str"/>
      <x:c r="F54" s="35" t="str"/>
      <x:c r="G54" s="81" t="str"/>
      <x:c r="H54" s="81" t="str"/>
      <x:c r="I54" s="81" t="str"/>
      <x:c r="J54" s="81" t="str"/>
      <x:c r="K54" s="33" t="str">
        <x:f>IF(OR(I54="",J54=""),"",IFERROR(I54/J54,0))</x:f>
      </x:c>
      <x:c r="L54" s="35" t="str"/>
      <x:c r="M54" s="36" t="str"/>
    </x:row>
    <x:row r="55">
      <x:c r="A55" s="79" t="str"/>
      <x:c r="B55" s="80" t="str"/>
      <x:c r="C55" s="35" t="str"/>
      <x:c r="D55" s="35" t="str"/>
      <x:c r="E55" s="35" t="str"/>
      <x:c r="F55" s="35" t="str"/>
      <x:c r="G55" s="81" t="str"/>
      <x:c r="H55" s="81" t="str"/>
      <x:c r="I55" s="81" t="str"/>
      <x:c r="J55" s="81" t="str"/>
      <x:c r="K55" s="33" t="str">
        <x:f>IF(OR(I55="",J55=""),"",IFERROR(I55/J55,0))</x:f>
      </x:c>
      <x:c r="L55" s="35" t="str"/>
      <x:c r="M55" s="36" t="str"/>
    </x:row>
    <x:row r="56">
      <x:c r="A56" s="79" t="str"/>
      <x:c r="B56" s="80" t="str"/>
      <x:c r="C56" s="35" t="str"/>
      <x:c r="D56" s="35" t="str"/>
      <x:c r="E56" s="35" t="str"/>
      <x:c r="F56" s="35" t="str"/>
      <x:c r="G56" s="81" t="str"/>
      <x:c r="H56" s="81" t="str"/>
      <x:c r="I56" s="81" t="str"/>
      <x:c r="J56" s="81" t="str"/>
      <x:c r="K56" s="33" t="str">
        <x:f>IF(OR(I56="",J56=""),"",IFERROR(I56/J56,0))</x:f>
      </x:c>
      <x:c r="L56" s="35" t="str"/>
      <x:c r="M56" s="36" t="str"/>
    </x:row>
    <x:row r="57">
      <x:c r="A57" s="79" t="str"/>
      <x:c r="B57" s="80" t="str"/>
      <x:c r="C57" s="35" t="str"/>
      <x:c r="D57" s="35" t="str"/>
      <x:c r="E57" s="35" t="str"/>
      <x:c r="F57" s="35" t="str"/>
      <x:c r="G57" s="81" t="str"/>
      <x:c r="H57" s="81" t="str"/>
      <x:c r="I57" s="81" t="str"/>
      <x:c r="J57" s="81" t="str"/>
      <x:c r="K57" s="33" t="str">
        <x:f>IF(OR(I57="",J57=""),"",IFERROR(I57/J57,0))</x:f>
      </x:c>
      <x:c r="L57" s="35" t="str"/>
      <x:c r="M57" s="36" t="str"/>
    </x:row>
    <x:row r="58">
      <x:c r="A58" s="79" t="str"/>
      <x:c r="B58" s="80" t="str"/>
      <x:c r="C58" s="35" t="str"/>
      <x:c r="D58" s="35" t="str"/>
      <x:c r="E58" s="35" t="str"/>
      <x:c r="F58" s="35" t="str"/>
      <x:c r="G58" s="81" t="str"/>
      <x:c r="H58" s="81" t="str"/>
      <x:c r="I58" s="81" t="str"/>
      <x:c r="J58" s="81" t="str"/>
      <x:c r="K58" s="33" t="str">
        <x:f>IF(OR(I58="",J58=""),"",IFERROR(I58/J58,0))</x:f>
      </x:c>
      <x:c r="L58" s="35" t="str"/>
      <x:c r="M58" s="36" t="str"/>
    </x:row>
    <x:row r="59">
      <x:c r="A59" s="79" t="str"/>
      <x:c r="B59" s="80" t="str"/>
      <x:c r="C59" s="35" t="str"/>
      <x:c r="D59" s="35" t="str"/>
      <x:c r="E59" s="35" t="str"/>
      <x:c r="F59" s="35" t="str"/>
      <x:c r="G59" s="81" t="str"/>
      <x:c r="H59" s="81" t="str"/>
      <x:c r="I59" s="81" t="str"/>
      <x:c r="J59" s="81" t="str"/>
      <x:c r="K59" s="33" t="str">
        <x:f>IF(OR(I59="",J59=""),"",IFERROR(I59/J59,0))</x:f>
      </x:c>
      <x:c r="L59" s="35" t="str"/>
      <x:c r="M59" s="36" t="str"/>
    </x:row>
    <x:row r="60">
      <x:c r="A60" s="79" t="str"/>
      <x:c r="B60" s="80" t="str"/>
      <x:c r="C60" s="35" t="str"/>
      <x:c r="D60" s="35" t="str"/>
      <x:c r="E60" s="35" t="str"/>
      <x:c r="F60" s="35" t="str"/>
      <x:c r="G60" s="81" t="str"/>
      <x:c r="H60" s="81" t="str"/>
      <x:c r="I60" s="81" t="str"/>
      <x:c r="J60" s="81" t="str"/>
      <x:c r="K60" s="33" t="str">
        <x:f>IF(OR(I60="",J60=""),"",IFERROR(I60/J60,0))</x:f>
      </x:c>
      <x:c r="L60" s="35" t="str"/>
      <x:c r="M60" s="36" t="str"/>
    </x:row>
    <x:row r="61">
      <x:c r="A61" s="79" t="str"/>
      <x:c r="B61" s="80" t="str"/>
      <x:c r="C61" s="35" t="str"/>
      <x:c r="D61" s="35" t="str"/>
      <x:c r="E61" s="35" t="str"/>
      <x:c r="F61" s="35" t="str"/>
      <x:c r="G61" s="81" t="str"/>
      <x:c r="H61" s="81" t="str"/>
      <x:c r="I61" s="81" t="str"/>
      <x:c r="J61" s="81" t="str"/>
      <x:c r="K61" s="33" t="str">
        <x:f>IF(OR(I61="",J61=""),"",IFERROR(I61/J61,0))</x:f>
      </x:c>
      <x:c r="L61" s="35" t="str"/>
      <x:c r="M61" s="36" t="str"/>
    </x:row>
    <x:row r="62">
      <x:c r="A62" s="79" t="str"/>
      <x:c r="B62" s="80" t="str"/>
      <x:c r="C62" s="35" t="str"/>
      <x:c r="D62" s="35" t="str"/>
      <x:c r="E62" s="35" t="str"/>
      <x:c r="F62" s="35" t="str"/>
      <x:c r="G62" s="81" t="str"/>
      <x:c r="H62" s="81" t="str"/>
      <x:c r="I62" s="81" t="str"/>
      <x:c r="J62" s="81" t="str"/>
      <x:c r="K62" s="33" t="str">
        <x:f>IF(OR(I62="",J62=""),"",IFERROR(I62/J62,0))</x:f>
      </x:c>
      <x:c r="L62" s="35" t="str"/>
      <x:c r="M62" s="36" t="str"/>
    </x:row>
    <x:row r="63">
      <x:c r="A63" s="79" t="str"/>
      <x:c r="B63" s="80" t="str"/>
      <x:c r="C63" s="35" t="str"/>
      <x:c r="D63" s="35" t="str"/>
      <x:c r="E63" s="35" t="str"/>
      <x:c r="F63" s="35" t="str"/>
      <x:c r="G63" s="81" t="str"/>
      <x:c r="H63" s="81" t="str"/>
      <x:c r="I63" s="81" t="str"/>
      <x:c r="J63" s="81" t="str"/>
      <x:c r="K63" s="33" t="str">
        <x:f>IF(OR(I63="",J63=""),"",IFERROR(I63/J63,0))</x:f>
      </x:c>
      <x:c r="L63" s="35" t="str"/>
      <x:c r="M63" s="36" t="str"/>
    </x:row>
    <x:row r="64">
      <x:c r="A64" s="79" t="str"/>
      <x:c r="B64" s="80" t="str"/>
      <x:c r="C64" s="35" t="str"/>
      <x:c r="D64" s="35" t="str"/>
      <x:c r="E64" s="35" t="str"/>
      <x:c r="F64" s="35" t="str"/>
      <x:c r="G64" s="81" t="str"/>
      <x:c r="H64" s="81" t="str"/>
      <x:c r="I64" s="81" t="str"/>
      <x:c r="J64" s="81" t="str"/>
      <x:c r="K64" s="33" t="str">
        <x:f>IF(OR(I64="",J64=""),"",IFERROR(I64/J64,0))</x:f>
      </x:c>
      <x:c r="L64" s="35" t="str"/>
      <x:c r="M64" s="36" t="str"/>
    </x:row>
    <x:row r="65">
      <x:c r="A65" s="79" t="str"/>
      <x:c r="B65" s="80" t="str"/>
      <x:c r="C65" s="35" t="str"/>
      <x:c r="D65" s="35" t="str"/>
      <x:c r="E65" s="35" t="str"/>
      <x:c r="F65" s="35" t="str"/>
      <x:c r="G65" s="81" t="str"/>
      <x:c r="H65" s="81" t="str"/>
      <x:c r="I65" s="81" t="str"/>
      <x:c r="J65" s="81" t="str"/>
      <x:c r="K65" s="33" t="str">
        <x:f>IF(OR(I65="",J65=""),"",IFERROR(I65/J65,0))</x:f>
      </x:c>
      <x:c r="L65" s="35" t="str"/>
      <x:c r="M65" s="36" t="str"/>
    </x:row>
    <x:row r="66">
      <x:c r="A66" s="79" t="str"/>
      <x:c r="B66" s="80" t="str"/>
      <x:c r="C66" s="35" t="str"/>
      <x:c r="D66" s="35" t="str"/>
      <x:c r="E66" s="35" t="str"/>
      <x:c r="F66" s="35" t="str"/>
      <x:c r="G66" s="81" t="str"/>
      <x:c r="H66" s="81" t="str"/>
      <x:c r="I66" s="81" t="str"/>
      <x:c r="J66" s="81" t="str"/>
      <x:c r="K66" s="33" t="str">
        <x:f>IF(OR(I66="",J66=""),"",IFERROR(I66/J66,0))</x:f>
      </x:c>
      <x:c r="L66" s="35" t="str"/>
      <x:c r="M66" s="36" t="str"/>
    </x:row>
    <x:row r="67">
      <x:c r="A67" s="79" t="str"/>
      <x:c r="B67" s="80" t="str"/>
      <x:c r="C67" s="35" t="str"/>
      <x:c r="D67" s="35" t="str"/>
      <x:c r="E67" s="35" t="str"/>
      <x:c r="F67" s="35" t="str"/>
      <x:c r="G67" s="81" t="str"/>
      <x:c r="H67" s="81" t="str"/>
      <x:c r="I67" s="81" t="str"/>
      <x:c r="J67" s="81" t="str"/>
      <x:c r="K67" s="33" t="str">
        <x:f>IF(OR(I67="",J67=""),"",IFERROR(I67/J67,0))</x:f>
      </x:c>
      <x:c r="L67" s="35" t="str"/>
      <x:c r="M67" s="36" t="str"/>
    </x:row>
    <x:row r="68">
      <x:c r="A68" s="79" t="str"/>
      <x:c r="B68" s="80" t="str"/>
      <x:c r="C68" s="35" t="str"/>
      <x:c r="D68" s="35" t="str"/>
      <x:c r="E68" s="35" t="str"/>
      <x:c r="F68" s="35" t="str"/>
      <x:c r="G68" s="81" t="str"/>
      <x:c r="H68" s="81" t="str"/>
      <x:c r="I68" s="81" t="str"/>
      <x:c r="J68" s="81" t="str"/>
      <x:c r="K68" s="33" t="str">
        <x:f>IF(OR(I68="",J68=""),"",IFERROR(I68/J68,0))</x:f>
      </x:c>
      <x:c r="L68" s="35" t="str"/>
      <x:c r="M68" s="36" t="str"/>
    </x:row>
    <x:row r="69">
      <x:c r="A69" s="79" t="str"/>
      <x:c r="B69" s="80" t="str"/>
      <x:c r="C69" s="35" t="str"/>
      <x:c r="D69" s="35" t="str"/>
      <x:c r="E69" s="35" t="str"/>
      <x:c r="F69" s="35" t="str"/>
      <x:c r="G69" s="81" t="str"/>
      <x:c r="H69" s="81" t="str"/>
      <x:c r="I69" s="81" t="str"/>
      <x:c r="J69" s="81" t="str"/>
      <x:c r="K69" s="33" t="str">
        <x:f>IF(OR(I69="",J69=""),"",IFERROR(I69/J69,0))</x:f>
      </x:c>
      <x:c r="L69" s="35" t="str"/>
      <x:c r="M69" s="36" t="str"/>
    </x:row>
    <x:row r="70">
      <x:c r="A70" s="79" t="str"/>
      <x:c r="B70" s="80" t="str"/>
      <x:c r="C70" s="35" t="str"/>
      <x:c r="D70" s="35" t="str"/>
      <x:c r="E70" s="35" t="str"/>
      <x:c r="F70" s="35" t="str"/>
      <x:c r="G70" s="81" t="str"/>
      <x:c r="H70" s="81" t="str"/>
      <x:c r="I70" s="81" t="str"/>
      <x:c r="J70" s="81" t="str"/>
      <x:c r="K70" s="33" t="str">
        <x:f>IF(OR(I70="",J70=""),"",IFERROR(I70/J70,0))</x:f>
      </x:c>
      <x:c r="L70" s="35" t="str"/>
      <x:c r="M70" s="36" t="str"/>
    </x:row>
    <x:row r="71">
      <x:c r="A71" s="79" t="str"/>
      <x:c r="B71" s="80" t="str"/>
      <x:c r="C71" s="35" t="str"/>
      <x:c r="D71" s="35" t="str"/>
      <x:c r="E71" s="35" t="str"/>
      <x:c r="F71" s="35" t="str"/>
      <x:c r="G71" s="81" t="str"/>
      <x:c r="H71" s="81" t="str"/>
      <x:c r="I71" s="81" t="str"/>
      <x:c r="J71" s="81" t="str"/>
      <x:c r="K71" s="33" t="str">
        <x:f>IF(OR(I71="",J71=""),"",IFERROR(I71/J71,0))</x:f>
      </x:c>
      <x:c r="L71" s="35" t="str"/>
      <x:c r="M71" s="36" t="str"/>
    </x:row>
    <x:row r="72">
      <x:c r="A72" s="79" t="str"/>
      <x:c r="B72" s="80" t="str"/>
      <x:c r="C72" s="35" t="str"/>
      <x:c r="D72" s="35" t="str"/>
      <x:c r="E72" s="35" t="str"/>
      <x:c r="F72" s="35" t="str"/>
      <x:c r="G72" s="81" t="str"/>
      <x:c r="H72" s="81" t="str"/>
      <x:c r="I72" s="81" t="str"/>
      <x:c r="J72" s="81" t="str"/>
      <x:c r="K72" s="33" t="str">
        <x:f>IF(OR(I72="",J72=""),"",IFERROR(I72/J72,0))</x:f>
      </x:c>
      <x:c r="L72" s="35" t="str"/>
      <x:c r="M72" s="36" t="str"/>
    </x:row>
    <x:row r="73">
      <x:c r="A73" s="79" t="str"/>
      <x:c r="B73" s="80" t="str"/>
      <x:c r="C73" s="35" t="str"/>
      <x:c r="D73" s="35" t="str"/>
      <x:c r="E73" s="35" t="str"/>
      <x:c r="F73" s="35" t="str"/>
      <x:c r="G73" s="81" t="str"/>
      <x:c r="H73" s="81" t="str"/>
      <x:c r="I73" s="81" t="str"/>
      <x:c r="J73" s="81" t="str"/>
      <x:c r="K73" s="33" t="str">
        <x:f>IF(OR(I73="",J73=""),"",IFERROR(I73/J73,0))</x:f>
      </x:c>
      <x:c r="L73" s="35" t="str"/>
      <x:c r="M73" s="36" t="str"/>
    </x:row>
    <x:row r="74">
      <x:c r="A74" s="79" t="str"/>
      <x:c r="B74" s="80" t="str"/>
      <x:c r="C74" s="35" t="str"/>
      <x:c r="D74" s="35" t="str"/>
      <x:c r="E74" s="35" t="str"/>
      <x:c r="F74" s="35" t="str"/>
      <x:c r="G74" s="81" t="str"/>
      <x:c r="H74" s="81" t="str"/>
      <x:c r="I74" s="81" t="str"/>
      <x:c r="J74" s="81" t="str"/>
      <x:c r="K74" s="33" t="str">
        <x:f>IF(OR(I74="",J74=""),"",IFERROR(I74/J74,0))</x:f>
      </x:c>
      <x:c r="L74" s="35" t="str"/>
      <x:c r="M74" s="36" t="str"/>
    </x:row>
    <x:row r="75">
      <x:c r="A75" s="79" t="str"/>
      <x:c r="B75" s="80" t="str"/>
      <x:c r="C75" s="35" t="str"/>
      <x:c r="D75" s="35" t="str"/>
      <x:c r="E75" s="35" t="str"/>
      <x:c r="F75" s="35" t="str"/>
      <x:c r="G75" s="81" t="str"/>
      <x:c r="H75" s="81" t="str"/>
      <x:c r="I75" s="81" t="str"/>
      <x:c r="J75" s="81" t="str"/>
      <x:c r="K75" s="33" t="str">
        <x:f>IF(OR(I75="",J75=""),"",IFERROR(I75/J75,0))</x:f>
      </x:c>
      <x:c r="L75" s="35" t="str"/>
      <x:c r="M75" s="36" t="str"/>
    </x:row>
    <x:row r="76">
      <x:c r="A76" s="79" t="str"/>
      <x:c r="B76" s="80" t="str"/>
      <x:c r="C76" s="35" t="str"/>
      <x:c r="D76" s="35" t="str"/>
      <x:c r="E76" s="35" t="str"/>
      <x:c r="F76" s="35" t="str"/>
      <x:c r="G76" s="81" t="str"/>
      <x:c r="H76" s="81" t="str"/>
      <x:c r="I76" s="81" t="str"/>
      <x:c r="J76" s="81" t="str"/>
      <x:c r="K76" s="33" t="str">
        <x:f>IF(OR(I76="",J76=""),"",IFERROR(I76/J76,0))</x:f>
      </x:c>
      <x:c r="L76" s="35" t="str"/>
      <x:c r="M76" s="36" t="str"/>
    </x:row>
    <x:row r="77">
      <x:c r="A77" s="79" t="str"/>
      <x:c r="B77" s="80" t="str"/>
      <x:c r="C77" s="35" t="str"/>
      <x:c r="D77" s="35" t="str"/>
      <x:c r="E77" s="35" t="str"/>
      <x:c r="F77" s="35" t="str"/>
      <x:c r="G77" s="81" t="str"/>
      <x:c r="H77" s="81" t="str"/>
      <x:c r="I77" s="81" t="str"/>
      <x:c r="J77" s="81" t="str"/>
      <x:c r="K77" s="33" t="str">
        <x:f>IF(OR(I77="",J77=""),"",IFERROR(I77/J77,0))</x:f>
      </x:c>
      <x:c r="L77" s="35" t="str"/>
      <x:c r="M77" s="36" t="str"/>
    </x:row>
    <x:row r="78">
      <x:c r="A78" s="79" t="str"/>
      <x:c r="B78" s="80" t="str"/>
      <x:c r="C78" s="35" t="str"/>
      <x:c r="D78" s="35" t="str"/>
      <x:c r="E78" s="35" t="str"/>
      <x:c r="F78" s="35" t="str"/>
      <x:c r="G78" s="81" t="str"/>
      <x:c r="H78" s="81" t="str"/>
      <x:c r="I78" s="81" t="str"/>
      <x:c r="J78" s="81" t="str"/>
      <x:c r="K78" s="33" t="str">
        <x:f>IF(OR(I78="",J78=""),"",IFERROR(I78/J78,0))</x:f>
      </x:c>
      <x:c r="L78" s="35" t="str"/>
      <x:c r="M78" s="36" t="str"/>
    </x:row>
    <x:row r="79">
      <x:c r="A79" s="79" t="str"/>
      <x:c r="B79" s="80" t="str"/>
      <x:c r="C79" s="35" t="str"/>
      <x:c r="D79" s="35" t="str"/>
      <x:c r="E79" s="35" t="str"/>
      <x:c r="F79" s="35" t="str"/>
      <x:c r="G79" s="81" t="str"/>
      <x:c r="H79" s="81" t="str"/>
      <x:c r="I79" s="81" t="str"/>
      <x:c r="J79" s="81" t="str"/>
      <x:c r="K79" s="33" t="str">
        <x:f>IF(OR(I79="",J79=""),"",IFERROR(I79/J79,0))</x:f>
      </x:c>
      <x:c r="L79" s="35" t="str"/>
      <x:c r="M79" s="36" t="str"/>
    </x:row>
    <x:row r="80">
      <x:c r="A80" s="79" t="str"/>
      <x:c r="B80" s="80" t="str"/>
      <x:c r="C80" s="35" t="str"/>
      <x:c r="D80" s="35" t="str"/>
      <x:c r="E80" s="35" t="str"/>
      <x:c r="F80" s="35" t="str"/>
      <x:c r="G80" s="81" t="str"/>
      <x:c r="H80" s="81" t="str"/>
      <x:c r="I80" s="81" t="str"/>
      <x:c r="J80" s="81" t="str"/>
      <x:c r="K80" s="33" t="str">
        <x:f>IF(OR(I80="",J80=""),"",IFERROR(I80/J80,0))</x:f>
      </x:c>
      <x:c r="L80" s="35" t="str"/>
      <x:c r="M80" s="36" t="str"/>
    </x:row>
    <x:row r="81">
      <x:c r="A81" s="79" t="str"/>
      <x:c r="B81" s="80" t="str"/>
      <x:c r="C81" s="35" t="str"/>
      <x:c r="D81" s="35" t="str"/>
      <x:c r="E81" s="35" t="str"/>
      <x:c r="F81" s="35" t="str"/>
      <x:c r="G81" s="81" t="str"/>
      <x:c r="H81" s="81" t="str"/>
      <x:c r="I81" s="81" t="str"/>
      <x:c r="J81" s="81" t="str"/>
      <x:c r="K81" s="33" t="str">
        <x:f>IF(OR(I81="",J81=""),"",IFERROR(I81/J81,0))</x:f>
      </x:c>
      <x:c r="L81" s="35" t="str"/>
      <x:c r="M81" s="36" t="str"/>
    </x:row>
    <x:row r="82">
      <x:c r="A82" s="79" t="str"/>
      <x:c r="B82" s="80" t="str"/>
      <x:c r="C82" s="35" t="str"/>
      <x:c r="D82" s="35" t="str"/>
      <x:c r="E82" s="35" t="str"/>
      <x:c r="F82" s="35" t="str"/>
      <x:c r="G82" s="81" t="str"/>
      <x:c r="H82" s="81" t="str"/>
      <x:c r="I82" s="81" t="str"/>
      <x:c r="J82" s="81" t="str"/>
      <x:c r="K82" s="33" t="str">
        <x:f>IF(OR(I82="",J82=""),"",IFERROR(I82/J82,0))</x:f>
      </x:c>
      <x:c r="L82" s="35" t="str"/>
      <x:c r="M82" s="36" t="str"/>
    </x:row>
    <x:row r="83">
      <x:c r="A83" s="79" t="str"/>
      <x:c r="B83" s="80" t="str"/>
      <x:c r="C83" s="35" t="str"/>
      <x:c r="D83" s="35" t="str"/>
      <x:c r="E83" s="35" t="str"/>
      <x:c r="F83" s="35" t="str"/>
      <x:c r="G83" s="81" t="str"/>
      <x:c r="H83" s="81" t="str"/>
      <x:c r="I83" s="81" t="str"/>
      <x:c r="J83" s="81" t="str"/>
      <x:c r="K83" s="33" t="str">
        <x:f>IF(OR(I83="",J83=""),"",IFERROR(I83/J83,0))</x:f>
      </x:c>
      <x:c r="L83" s="35" t="str"/>
      <x:c r="M83" s="36" t="str"/>
    </x:row>
    <x:row r="84">
      <x:c r="A84" s="79" t="str"/>
      <x:c r="B84" s="80" t="str"/>
      <x:c r="C84" s="35" t="str"/>
      <x:c r="D84" s="35" t="str"/>
      <x:c r="E84" s="35" t="str"/>
      <x:c r="F84" s="35" t="str"/>
      <x:c r="G84" s="81" t="str"/>
      <x:c r="H84" s="81" t="str"/>
      <x:c r="I84" s="81" t="str"/>
      <x:c r="J84" s="81" t="str"/>
      <x:c r="K84" s="33" t="str">
        <x:f>IF(OR(I84="",J84=""),"",IFERROR(I84/J84,0))</x:f>
      </x:c>
      <x:c r="L84" s="35" t="str"/>
      <x:c r="M84" s="36" t="str"/>
    </x:row>
    <x:row r="85">
      <x:c r="A85" s="79" t="str"/>
      <x:c r="B85" s="80" t="str"/>
      <x:c r="C85" s="35" t="str"/>
      <x:c r="D85" s="35" t="str"/>
      <x:c r="E85" s="35" t="str"/>
      <x:c r="F85" s="35" t="str"/>
      <x:c r="G85" s="81" t="str"/>
      <x:c r="H85" s="81" t="str"/>
      <x:c r="I85" s="81" t="str"/>
      <x:c r="J85" s="81" t="str"/>
      <x:c r="K85" s="33" t="str">
        <x:f>IF(OR(I85="",J85=""),"",IFERROR(I85/J85,0))</x:f>
      </x:c>
      <x:c r="L85" s="35" t="str"/>
      <x:c r="M85" s="36" t="str"/>
    </x:row>
    <x:row r="86">
      <x:c r="A86" s="79" t="str"/>
      <x:c r="B86" s="80" t="str"/>
      <x:c r="C86" s="35" t="str"/>
      <x:c r="D86" s="35" t="str"/>
      <x:c r="E86" s="35" t="str"/>
      <x:c r="F86" s="35" t="str"/>
      <x:c r="G86" s="81" t="str"/>
      <x:c r="H86" s="81" t="str"/>
      <x:c r="I86" s="81" t="str"/>
      <x:c r="J86" s="81" t="str"/>
      <x:c r="K86" s="33" t="str">
        <x:f>IF(OR(I86="",J86=""),"",IFERROR(I86/J86,0))</x:f>
      </x:c>
      <x:c r="L86" s="35" t="str"/>
      <x:c r="M86" s="36" t="str"/>
    </x:row>
    <x:row r="87">
      <x:c r="A87" s="79" t="str"/>
      <x:c r="B87" s="80" t="str"/>
      <x:c r="C87" s="35" t="str"/>
      <x:c r="D87" s="35" t="str"/>
      <x:c r="E87" s="35" t="str"/>
      <x:c r="F87" s="35" t="str"/>
      <x:c r="G87" s="81" t="str"/>
      <x:c r="H87" s="81" t="str"/>
      <x:c r="I87" s="81" t="str"/>
      <x:c r="J87" s="81" t="str"/>
      <x:c r="K87" s="33" t="str">
        <x:f>IF(OR(I87="",J87=""),"",IFERROR(I87/J87,0))</x:f>
      </x:c>
      <x:c r="L87" s="35" t="str"/>
      <x:c r="M87" s="36" t="str"/>
    </x:row>
    <x:row r="88">
      <x:c r="A88" s="79" t="str"/>
      <x:c r="B88" s="80" t="str"/>
      <x:c r="C88" s="35" t="str"/>
      <x:c r="D88" s="35" t="str"/>
      <x:c r="E88" s="35" t="str"/>
      <x:c r="F88" s="35" t="str"/>
      <x:c r="G88" s="81" t="str"/>
      <x:c r="H88" s="81" t="str"/>
      <x:c r="I88" s="81" t="str"/>
      <x:c r="J88" s="81" t="str"/>
      <x:c r="K88" s="33" t="str">
        <x:f>IF(OR(I88="",J88=""),"",IFERROR(I88/J88,0))</x:f>
      </x:c>
      <x:c r="L88" s="35" t="str"/>
      <x:c r="M88" s="36" t="str"/>
    </x:row>
    <x:row r="89">
      <x:c r="A89" s="79" t="str"/>
      <x:c r="B89" s="80" t="str"/>
      <x:c r="C89" s="35" t="str"/>
      <x:c r="D89" s="35" t="str"/>
      <x:c r="E89" s="35" t="str"/>
      <x:c r="F89" s="35" t="str"/>
      <x:c r="G89" s="81" t="str"/>
      <x:c r="H89" s="81" t="str"/>
      <x:c r="I89" s="81" t="str"/>
      <x:c r="J89" s="81" t="str"/>
      <x:c r="K89" s="33" t="str">
        <x:f>IF(OR(I89="",J89=""),"",IFERROR(I89/J89,0))</x:f>
      </x:c>
      <x:c r="L89" s="35" t="str"/>
      <x:c r="M89" s="36" t="str"/>
    </x:row>
    <x:row r="90">
      <x:c r="A90" s="79" t="str"/>
      <x:c r="B90" s="80" t="str"/>
      <x:c r="C90" s="35" t="str"/>
      <x:c r="D90" s="35" t="str"/>
      <x:c r="E90" s="35" t="str"/>
      <x:c r="F90" s="35" t="str"/>
      <x:c r="G90" s="81" t="str"/>
      <x:c r="H90" s="81" t="str"/>
      <x:c r="I90" s="81" t="str"/>
      <x:c r="J90" s="81" t="str"/>
      <x:c r="K90" s="33" t="str">
        <x:f>IF(OR(I90="",J90=""),"",IFERROR(I90/J90,0))</x:f>
      </x:c>
      <x:c r="L90" s="35" t="str"/>
      <x:c r="M90" s="36" t="str"/>
    </x:row>
    <x:row r="91">
      <x:c r="A91" s="79" t="str"/>
      <x:c r="B91" s="80" t="str"/>
      <x:c r="C91" s="35" t="str"/>
      <x:c r="D91" s="35" t="str"/>
      <x:c r="E91" s="35" t="str"/>
      <x:c r="F91" s="35" t="str"/>
      <x:c r="G91" s="81" t="str"/>
      <x:c r="H91" s="81" t="str"/>
      <x:c r="I91" s="81" t="str"/>
      <x:c r="J91" s="81" t="str"/>
      <x:c r="K91" s="33" t="str">
        <x:f>IF(OR(I91="",J91=""),"",IFERROR(I91/J91,0))</x:f>
      </x:c>
      <x:c r="L91" s="35" t="str"/>
      <x:c r="M91" s="36" t="str"/>
    </x:row>
    <x:row r="92">
      <x:c r="A92" s="79" t="str"/>
      <x:c r="B92" s="80" t="str"/>
      <x:c r="C92" s="35" t="str"/>
      <x:c r="D92" s="35" t="str"/>
      <x:c r="E92" s="35" t="str"/>
      <x:c r="F92" s="35" t="str"/>
      <x:c r="G92" s="81" t="str"/>
      <x:c r="H92" s="81" t="str"/>
      <x:c r="I92" s="81" t="str"/>
      <x:c r="J92" s="81" t="str"/>
      <x:c r="K92" s="33" t="str">
        <x:f>IF(OR(I92="",J92=""),"",IFERROR(I92/J92,0))</x:f>
      </x:c>
      <x:c r="L92" s="35" t="str"/>
      <x:c r="M92" s="36" t="str"/>
    </x:row>
    <x:row r="93">
      <x:c r="A93" s="79" t="str"/>
      <x:c r="B93" s="80" t="str"/>
      <x:c r="C93" s="35" t="str"/>
      <x:c r="D93" s="35" t="str"/>
      <x:c r="E93" s="35" t="str"/>
      <x:c r="F93" s="35" t="str"/>
      <x:c r="G93" s="81" t="str"/>
      <x:c r="H93" s="81" t="str"/>
      <x:c r="I93" s="81" t="str"/>
      <x:c r="J93" s="81" t="str"/>
      <x:c r="K93" s="33" t="str">
        <x:f>IF(OR(I93="",J93=""),"",IFERROR(I93/J93,0))</x:f>
      </x:c>
      <x:c r="L93" s="35" t="str"/>
      <x:c r="M93" s="36" t="str"/>
    </x:row>
    <x:row r="94">
      <x:c r="A94" s="79" t="str"/>
      <x:c r="B94" s="80" t="str"/>
      <x:c r="C94" s="35" t="str"/>
      <x:c r="D94" s="35" t="str"/>
      <x:c r="E94" s="35" t="str"/>
      <x:c r="F94" s="35" t="str"/>
      <x:c r="G94" s="81" t="str"/>
      <x:c r="H94" s="81" t="str"/>
      <x:c r="I94" s="81" t="str"/>
      <x:c r="J94" s="81" t="str"/>
      <x:c r="K94" s="33" t="str">
        <x:f>IF(OR(I94="",J94=""),"",IFERROR(I94/J94,0))</x:f>
      </x:c>
      <x:c r="L94" s="35" t="str"/>
      <x:c r="M94" s="36" t="str"/>
    </x:row>
    <x:row r="95">
      <x:c r="A95" s="79" t="str"/>
      <x:c r="B95" s="80" t="str"/>
      <x:c r="C95" s="35" t="str"/>
      <x:c r="D95" s="35" t="str"/>
      <x:c r="E95" s="35" t="str"/>
      <x:c r="F95" s="35" t="str"/>
      <x:c r="G95" s="81" t="str"/>
      <x:c r="H95" s="81" t="str"/>
      <x:c r="I95" s="81" t="str"/>
      <x:c r="J95" s="81" t="str"/>
      <x:c r="K95" s="33" t="str">
        <x:f>IF(OR(I95="",J95=""),"",IFERROR(I95/J95,0))</x:f>
      </x:c>
      <x:c r="L95" s="35" t="str"/>
      <x:c r="M95" s="36" t="str"/>
    </x:row>
    <x:row r="96">
      <x:c r="A96" s="79" t="str"/>
      <x:c r="B96" s="80" t="str"/>
      <x:c r="C96" s="35" t="str"/>
      <x:c r="D96" s="35" t="str"/>
      <x:c r="E96" s="35" t="str"/>
      <x:c r="F96" s="35" t="str"/>
      <x:c r="G96" s="81" t="str"/>
      <x:c r="H96" s="81" t="str"/>
      <x:c r="I96" s="81" t="str"/>
      <x:c r="J96" s="81" t="str"/>
      <x:c r="K96" s="33" t="str">
        <x:f>IF(OR(I96="",J96=""),"",IFERROR(I96/J96,0))</x:f>
      </x:c>
      <x:c r="L96" s="35" t="str"/>
      <x:c r="M96" s="36" t="str"/>
    </x:row>
    <x:row r="97">
      <x:c r="A97" s="79" t="str"/>
      <x:c r="B97" s="80" t="str"/>
      <x:c r="C97" s="35" t="str"/>
      <x:c r="D97" s="35" t="str"/>
      <x:c r="E97" s="35" t="str"/>
      <x:c r="F97" s="35" t="str"/>
      <x:c r="G97" s="81" t="str"/>
      <x:c r="H97" s="81" t="str"/>
      <x:c r="I97" s="81" t="str"/>
      <x:c r="J97" s="81" t="str"/>
      <x:c r="K97" s="33" t="str">
        <x:f>IF(OR(I97="",J97=""),"",IFERROR(I97/J97,0))</x:f>
      </x:c>
      <x:c r="L97" s="35" t="str"/>
      <x:c r="M97" s="36" t="str"/>
    </x:row>
    <x:row r="98">
      <x:c r="A98" s="79" t="str"/>
      <x:c r="B98" s="80" t="str"/>
      <x:c r="C98" s="35" t="str"/>
      <x:c r="D98" s="35" t="str"/>
      <x:c r="E98" s="35" t="str"/>
      <x:c r="F98" s="35" t="str"/>
      <x:c r="G98" s="81" t="str"/>
      <x:c r="H98" s="81" t="str"/>
      <x:c r="I98" s="81" t="str"/>
      <x:c r="J98" s="81" t="str"/>
      <x:c r="K98" s="33" t="str">
        <x:f>IF(OR(I98="",J98=""),"",IFERROR(I98/J98,0))</x:f>
      </x:c>
      <x:c r="L98" s="35" t="str"/>
      <x:c r="M98" s="36" t="str"/>
    </x:row>
    <x:row r="99">
      <x:c r="A99" s="79" t="str"/>
      <x:c r="B99" s="80" t="str"/>
      <x:c r="C99" s="35" t="str"/>
      <x:c r="D99" s="35" t="str"/>
      <x:c r="E99" s="35" t="str"/>
      <x:c r="F99" s="35" t="str"/>
      <x:c r="G99" s="81" t="str"/>
      <x:c r="H99" s="81" t="str"/>
      <x:c r="I99" s="81" t="str"/>
      <x:c r="J99" s="81" t="str"/>
      <x:c r="K99" s="33" t="str">
        <x:f>IF(OR(I99="",J99=""),"",IFERROR(I99/J99,0))</x:f>
      </x:c>
      <x:c r="L99" s="35" t="str"/>
      <x:c r="M99" s="36" t="str"/>
    </x:row>
    <x:row r="100">
      <x:c r="A100" s="79" t="str"/>
      <x:c r="B100" s="80" t="str"/>
      <x:c r="C100" s="35" t="str"/>
      <x:c r="D100" s="35" t="str"/>
      <x:c r="E100" s="35" t="str"/>
      <x:c r="F100" s="35" t="str"/>
      <x:c r="G100" s="81" t="str"/>
      <x:c r="H100" s="81" t="str"/>
      <x:c r="I100" s="81" t="str"/>
      <x:c r="J100" s="81" t="str"/>
      <x:c r="K100" s="33" t="str">
        <x:f>IF(OR(I100="",J100=""),"",IFERROR(I100/J100,0))</x:f>
      </x:c>
      <x:c r="L100" s="35" t="str"/>
      <x:c r="M100" s="36" t="str"/>
    </x:row>
    <x:row r="101">
      <x:c r="A101" s="79" t="str"/>
      <x:c r="B101" s="80" t="str"/>
      <x:c r="C101" s="35" t="str"/>
      <x:c r="D101" s="35" t="str"/>
      <x:c r="E101" s="35" t="str"/>
      <x:c r="F101" s="35" t="str"/>
      <x:c r="G101" s="81" t="str"/>
      <x:c r="H101" s="81" t="str"/>
      <x:c r="I101" s="81" t="str"/>
      <x:c r="J101" s="81" t="str"/>
      <x:c r="K101" s="33" t="str">
        <x:f>IF(OR(I101="",J101=""),"",IFERROR(I101/J101,0))</x:f>
      </x:c>
      <x:c r="L101" s="35" t="str"/>
      <x:c r="M101" s="36" t="str"/>
    </x:row>
    <x:row r="102">
      <x:c r="A102" s="79" t="str"/>
      <x:c r="B102" s="80" t="str"/>
      <x:c r="C102" s="35" t="str"/>
      <x:c r="D102" s="35" t="str"/>
      <x:c r="E102" s="35" t="str"/>
      <x:c r="F102" s="35" t="str"/>
      <x:c r="G102" s="81" t="str"/>
      <x:c r="H102" s="81" t="str"/>
      <x:c r="I102" s="81" t="str"/>
      <x:c r="J102" s="81" t="str"/>
      <x:c r="K102" s="33" t="str">
        <x:f>IF(OR(I102="",J102=""),"",IFERROR(I102/J102,0))</x:f>
      </x:c>
      <x:c r="L102" s="35" t="str"/>
      <x:c r="M102" s="36" t="str"/>
    </x:row>
    <x:row r="103">
      <x:c r="A103" s="79" t="str"/>
      <x:c r="B103" s="80" t="str"/>
      <x:c r="C103" s="35" t="str"/>
      <x:c r="D103" s="35" t="str"/>
      <x:c r="E103" s="35" t="str"/>
      <x:c r="F103" s="35" t="str"/>
      <x:c r="G103" s="81" t="str"/>
      <x:c r="H103" s="81" t="str"/>
      <x:c r="I103" s="81" t="str"/>
      <x:c r="J103" s="81" t="str"/>
      <x:c r="K103" s="33" t="str">
        <x:f>IF(OR(I103="",J103=""),"",IFERROR(I103/J103,0))</x:f>
      </x:c>
      <x:c r="L103" s="35" t="str"/>
      <x:c r="M103" s="36" t="str"/>
    </x:row>
    <x:row r="104">
      <x:c r="A104" s="79" t="str"/>
      <x:c r="B104" s="80" t="str"/>
      <x:c r="C104" s="35" t="str"/>
      <x:c r="D104" s="35" t="str"/>
      <x:c r="E104" s="35" t="str"/>
      <x:c r="F104" s="35" t="str"/>
      <x:c r="G104" s="81" t="str"/>
      <x:c r="H104" s="81" t="str"/>
      <x:c r="I104" s="81" t="str"/>
      <x:c r="J104" s="81" t="str"/>
      <x:c r="K104" s="33" t="str">
        <x:f>IF(OR(I104="",J104=""),"",IFERROR(I104/J104,0))</x:f>
      </x:c>
      <x:c r="L104" s="35" t="str"/>
      <x:c r="M104" s="36" t="str"/>
    </x:row>
    <x:row r="105">
      <x:c r="A105" s="79" t="str"/>
      <x:c r="B105" s="80" t="str"/>
      <x:c r="C105" s="35" t="str"/>
      <x:c r="D105" s="35" t="str"/>
      <x:c r="E105" s="35" t="str"/>
      <x:c r="F105" s="35" t="str"/>
      <x:c r="G105" s="81" t="str"/>
      <x:c r="H105" s="81" t="str"/>
      <x:c r="I105" s="81" t="str"/>
      <x:c r="J105" s="81" t="str"/>
      <x:c r="K105" s="33" t="str">
        <x:f>IF(OR(I105="",J105=""),"",IFERROR(I105/J105,0))</x:f>
      </x:c>
      <x:c r="L105" s="35" t="str"/>
      <x:c r="M105" s="36" t="str"/>
    </x:row>
    <x:row r="106">
      <x:c r="A106" s="79" t="str"/>
      <x:c r="B106" s="80" t="str"/>
      <x:c r="C106" s="35" t="str"/>
      <x:c r="D106" s="35" t="str"/>
      <x:c r="E106" s="35" t="str"/>
      <x:c r="F106" s="35" t="str"/>
      <x:c r="G106" s="81" t="str"/>
      <x:c r="H106" s="81" t="str"/>
      <x:c r="I106" s="81" t="str"/>
      <x:c r="J106" s="81" t="str"/>
      <x:c r="K106" s="33" t="str">
        <x:f>IF(OR(I106="",J106=""),"",IFERROR(I106/J106,0))</x:f>
      </x:c>
      <x:c r="L106" s="35" t="str"/>
      <x:c r="M106" s="36" t="str"/>
    </x:row>
    <x:row r="107">
      <x:c r="A107" s="79" t="str"/>
      <x:c r="B107" s="80" t="str"/>
      <x:c r="C107" s="35" t="str"/>
      <x:c r="D107" s="35" t="str"/>
      <x:c r="E107" s="35" t="str"/>
      <x:c r="F107" s="35" t="str"/>
      <x:c r="G107" s="81" t="str"/>
      <x:c r="H107" s="81" t="str"/>
      <x:c r="I107" s="81" t="str"/>
      <x:c r="J107" s="81" t="str"/>
      <x:c r="K107" s="33" t="str">
        <x:f>IF(OR(I107="",J107=""),"",IFERROR(I107/J107,0))</x:f>
      </x:c>
      <x:c r="L107" s="35" t="str"/>
      <x:c r="M107" s="36" t="str"/>
    </x:row>
    <x:row r="108">
      <x:c r="A108" s="79" t="str"/>
      <x:c r="B108" s="80" t="str"/>
      <x:c r="C108" s="35" t="str"/>
      <x:c r="D108" s="35" t="str"/>
      <x:c r="E108" s="35" t="str"/>
      <x:c r="F108" s="35" t="str"/>
      <x:c r="G108" s="81" t="str"/>
      <x:c r="H108" s="81" t="str"/>
      <x:c r="I108" s="81" t="str"/>
      <x:c r="J108" s="81" t="str"/>
      <x:c r="K108" s="33" t="str">
        <x:f>IF(OR(I108="",J108=""),"",IFERROR(I108/J108,0))</x:f>
      </x:c>
      <x:c r="L108" s="35" t="str"/>
      <x:c r="M108" s="36" t="str"/>
    </x:row>
    <x:row r="109">
      <x:c r="A109" s="79" t="str"/>
      <x:c r="B109" s="80" t="str"/>
      <x:c r="C109" s="35" t="str"/>
      <x:c r="D109" s="35" t="str"/>
      <x:c r="E109" s="35" t="str"/>
      <x:c r="F109" s="35" t="str"/>
      <x:c r="G109" s="81" t="str"/>
      <x:c r="H109" s="81" t="str"/>
      <x:c r="I109" s="81" t="str"/>
      <x:c r="J109" s="81" t="str"/>
      <x:c r="K109" s="33" t="str">
        <x:f>IF(OR(I109="",J109=""),"",IFERROR(I109/J109,0))</x:f>
      </x:c>
      <x:c r="L109" s="35" t="str"/>
      <x:c r="M109" s="36" t="str"/>
    </x:row>
    <x:row r="110">
      <x:c r="A110" s="79" t="str"/>
      <x:c r="B110" s="80" t="str"/>
      <x:c r="C110" s="35" t="str"/>
      <x:c r="D110" s="35" t="str"/>
      <x:c r="E110" s="35" t="str"/>
      <x:c r="F110" s="35" t="str"/>
      <x:c r="G110" s="81" t="str"/>
      <x:c r="H110" s="81" t="str"/>
      <x:c r="I110" s="81" t="str"/>
      <x:c r="J110" s="81" t="str"/>
      <x:c r="K110" s="33" t="str">
        <x:f>IF(OR(I110="",J110=""),"",IFERROR(I110/J110,0))</x:f>
      </x:c>
      <x:c r="L110" s="35" t="str"/>
      <x:c r="M110" s="36" t="str"/>
    </x:row>
    <x:row r="111">
      <x:c r="A111" s="79" t="str"/>
      <x:c r="B111" s="80" t="str"/>
      <x:c r="C111" s="35" t="str"/>
      <x:c r="D111" s="35" t="str"/>
      <x:c r="E111" s="35" t="str"/>
      <x:c r="F111" s="35" t="str"/>
      <x:c r="G111" s="81" t="str"/>
      <x:c r="H111" s="81" t="str"/>
      <x:c r="I111" s="81" t="str"/>
      <x:c r="J111" s="81" t="str"/>
      <x:c r="K111" s="33" t="str">
        <x:f>IF(OR(I111="",J111=""),"",IFERROR(I111/J111,0))</x:f>
      </x:c>
      <x:c r="L111" s="35" t="str"/>
      <x:c r="M111" s="36" t="str"/>
    </x:row>
    <x:row r="112">
      <x:c r="A112" s="79" t="str"/>
      <x:c r="B112" s="80" t="str"/>
      <x:c r="C112" s="35" t="str"/>
      <x:c r="D112" s="35" t="str"/>
      <x:c r="E112" s="35" t="str"/>
      <x:c r="F112" s="35" t="str"/>
      <x:c r="G112" s="81" t="str"/>
      <x:c r="H112" s="81" t="str"/>
      <x:c r="I112" s="81" t="str"/>
      <x:c r="J112" s="81" t="str"/>
      <x:c r="K112" s="33" t="str">
        <x:f>IF(OR(I112="",J112=""),"",IFERROR(I112/J112,0))</x:f>
      </x:c>
      <x:c r="L112" s="35" t="str"/>
      <x:c r="M112" s="36" t="str"/>
    </x:row>
    <x:row r="113">
      <x:c r="A113" s="79" t="str"/>
      <x:c r="B113" s="80" t="str"/>
      <x:c r="C113" s="35" t="str"/>
      <x:c r="D113" s="35" t="str"/>
      <x:c r="E113" s="35" t="str"/>
      <x:c r="F113" s="35" t="str"/>
      <x:c r="G113" s="81" t="str"/>
      <x:c r="H113" s="81" t="str"/>
      <x:c r="I113" s="81" t="str"/>
      <x:c r="J113" s="81" t="str"/>
      <x:c r="K113" s="33" t="str">
        <x:f>IF(OR(I113="",J113=""),"",IFERROR(I113/J113,0))</x:f>
      </x:c>
      <x:c r="L113" s="35" t="str"/>
      <x:c r="M113" s="36" t="str"/>
    </x:row>
    <x:row r="114">
      <x:c r="A114" s="79" t="str"/>
      <x:c r="B114" s="80" t="str"/>
      <x:c r="C114" s="35" t="str"/>
      <x:c r="D114" s="35" t="str"/>
      <x:c r="E114" s="35" t="str"/>
      <x:c r="F114" s="35" t="str"/>
      <x:c r="G114" s="81" t="str"/>
      <x:c r="H114" s="81" t="str"/>
      <x:c r="I114" s="81" t="str"/>
      <x:c r="J114" s="81" t="str"/>
      <x:c r="K114" s="33" t="str">
        <x:f>IF(OR(I114="",J114=""),"",IFERROR(I114/J114,0))</x:f>
      </x:c>
      <x:c r="L114" s="35" t="str"/>
      <x:c r="M114" s="36" t="str"/>
    </x:row>
    <x:row r="115">
      <x:c r="A115" s="79" t="str"/>
      <x:c r="B115" s="80" t="str"/>
      <x:c r="C115" s="35" t="str"/>
      <x:c r="D115" s="35" t="str"/>
      <x:c r="E115" s="35" t="str"/>
      <x:c r="F115" s="35" t="str"/>
      <x:c r="G115" s="81" t="str"/>
      <x:c r="H115" s="81" t="str"/>
      <x:c r="I115" s="81" t="str"/>
      <x:c r="J115" s="81" t="str"/>
      <x:c r="K115" s="33" t="str">
        <x:f>IF(OR(I115="",J115=""),"",IFERROR(I115/J115,0))</x:f>
      </x:c>
      <x:c r="L115" s="35" t="str"/>
      <x:c r="M115" s="36" t="str"/>
    </x:row>
    <x:row r="116">
      <x:c r="A116" s="79" t="str"/>
      <x:c r="B116" s="80" t="str"/>
      <x:c r="C116" s="35" t="str"/>
      <x:c r="D116" s="35" t="str"/>
      <x:c r="E116" s="35" t="str"/>
      <x:c r="F116" s="35" t="str"/>
      <x:c r="G116" s="81" t="str"/>
      <x:c r="H116" s="81" t="str"/>
      <x:c r="I116" s="81" t="str"/>
      <x:c r="J116" s="81" t="str"/>
      <x:c r="K116" s="33" t="str">
        <x:f>IF(OR(I116="",J116=""),"",IFERROR(I116/J116,0))</x:f>
      </x:c>
      <x:c r="L116" s="35" t="str"/>
      <x:c r="M116" s="36" t="str"/>
    </x:row>
    <x:row r="117">
      <x:c r="A117" s="79" t="str"/>
      <x:c r="B117" s="80" t="str"/>
      <x:c r="C117" s="35" t="str"/>
      <x:c r="D117" s="35" t="str"/>
      <x:c r="E117" s="35" t="str"/>
      <x:c r="F117" s="35" t="str"/>
      <x:c r="G117" s="81" t="str"/>
      <x:c r="H117" s="81" t="str"/>
      <x:c r="I117" s="81" t="str"/>
      <x:c r="J117" s="81" t="str"/>
      <x:c r="K117" s="33" t="str">
        <x:f>IF(OR(I117="",J117=""),"",IFERROR(I117/J117,0))</x:f>
      </x:c>
      <x:c r="L117" s="35" t="str"/>
      <x:c r="M117" s="36" t="str"/>
    </x:row>
    <x:row r="118">
      <x:c r="A118" s="79" t="str"/>
      <x:c r="B118" s="80" t="str"/>
      <x:c r="C118" s="35" t="str"/>
      <x:c r="D118" s="35" t="str"/>
      <x:c r="E118" s="35" t="str"/>
      <x:c r="F118" s="35" t="str"/>
      <x:c r="G118" s="81" t="str"/>
      <x:c r="H118" s="81" t="str"/>
      <x:c r="I118" s="81" t="str"/>
      <x:c r="J118" s="81" t="str"/>
      <x:c r="K118" s="33" t="str">
        <x:f>IF(OR(I118="",J118=""),"",IFERROR(I118/J118,0))</x:f>
      </x:c>
      <x:c r="L118" s="35" t="str"/>
      <x:c r="M118" s="36" t="str"/>
    </x:row>
    <x:row r="119">
      <x:c r="A119" s="79" t="str"/>
      <x:c r="B119" s="80" t="str"/>
      <x:c r="C119" s="35" t="str"/>
      <x:c r="D119" s="35" t="str"/>
      <x:c r="E119" s="35" t="str"/>
      <x:c r="F119" s="35" t="str"/>
      <x:c r="G119" s="81" t="str"/>
      <x:c r="H119" s="81" t="str"/>
      <x:c r="I119" s="81" t="str"/>
      <x:c r="J119" s="81" t="str"/>
      <x:c r="K119" s="33" t="str">
        <x:f>IF(OR(I119="",J119=""),"",IFERROR(I119/J119,0))</x:f>
      </x:c>
      <x:c r="L119" s="35" t="str"/>
      <x:c r="M119" s="36" t="str"/>
    </x:row>
    <x:row r="120">
      <x:c r="A120" s="79" t="str"/>
      <x:c r="B120" s="80" t="str"/>
      <x:c r="C120" s="35" t="str"/>
      <x:c r="D120" s="35" t="str"/>
      <x:c r="E120" s="35" t="str"/>
      <x:c r="F120" s="35" t="str"/>
      <x:c r="G120" s="81" t="str"/>
      <x:c r="H120" s="81" t="str"/>
      <x:c r="I120" s="81" t="str"/>
      <x:c r="J120" s="81" t="str"/>
      <x:c r="K120" s="33" t="str">
        <x:f>IF(OR(I120="",J120=""),"",IFERROR(I120/J120,0))</x:f>
      </x:c>
      <x:c r="L120" s="35" t="str"/>
      <x:c r="M120" s="36" t="str"/>
    </x:row>
    <x:row r="121">
      <x:c r="A121" s="79" t="str"/>
      <x:c r="B121" s="80" t="str"/>
      <x:c r="C121" s="35" t="str"/>
      <x:c r="D121" s="35" t="str"/>
      <x:c r="E121" s="35" t="str"/>
      <x:c r="F121" s="35" t="str"/>
      <x:c r="G121" s="81" t="str"/>
      <x:c r="H121" s="81" t="str"/>
      <x:c r="I121" s="81" t="str"/>
      <x:c r="J121" s="81" t="str"/>
      <x:c r="K121" s="33" t="str">
        <x:f>IF(OR(I121="",J121=""),"",IFERROR(I121/J121,0))</x:f>
      </x:c>
      <x:c r="L121" s="35" t="str"/>
      <x:c r="M121" s="36" t="str"/>
    </x:row>
    <x:row r="122">
      <x:c r="A122" s="79" t="str"/>
      <x:c r="B122" s="80" t="str"/>
      <x:c r="C122" s="35" t="str"/>
      <x:c r="D122" s="35" t="str"/>
      <x:c r="E122" s="35" t="str"/>
      <x:c r="F122" s="35" t="str"/>
      <x:c r="G122" s="81" t="str"/>
      <x:c r="H122" s="81" t="str"/>
      <x:c r="I122" s="81" t="str"/>
      <x:c r="J122" s="81" t="str"/>
      <x:c r="K122" s="33" t="str">
        <x:f>IF(OR(I122="",J122=""),"",IFERROR(I122/J122,0))</x:f>
      </x:c>
      <x:c r="L122" s="35" t="str"/>
      <x:c r="M122" s="36" t="str"/>
    </x:row>
    <x:row r="123">
      <x:c r="A123" s="79" t="str"/>
      <x:c r="B123" s="80" t="str"/>
      <x:c r="C123" s="35" t="str"/>
      <x:c r="D123" s="35" t="str"/>
      <x:c r="E123" s="35" t="str"/>
      <x:c r="F123" s="35" t="str"/>
      <x:c r="G123" s="81" t="str"/>
      <x:c r="H123" s="81" t="str"/>
      <x:c r="I123" s="81" t="str"/>
      <x:c r="J123" s="81" t="str"/>
      <x:c r="K123" s="33" t="str">
        <x:f>IF(OR(I123="",J123=""),"",IFERROR(I123/J123,0))</x:f>
      </x:c>
      <x:c r="L123" s="35" t="str"/>
      <x:c r="M123" s="36" t="str"/>
    </x:row>
    <x:row r="124">
      <x:c r="A124" s="79" t="str"/>
      <x:c r="B124" s="80" t="str"/>
      <x:c r="C124" s="35" t="str"/>
      <x:c r="D124" s="35" t="str"/>
      <x:c r="E124" s="35" t="str"/>
      <x:c r="F124" s="35" t="str"/>
      <x:c r="G124" s="81" t="str"/>
      <x:c r="H124" s="81" t="str"/>
      <x:c r="I124" s="81" t="str"/>
      <x:c r="J124" s="81" t="str"/>
      <x:c r="K124" s="33" t="str">
        <x:f>IF(OR(I124="",J124=""),"",IFERROR(I124/J124,0))</x:f>
      </x:c>
      <x:c r="L124" s="35" t="str"/>
      <x:c r="M124" s="36" t="str"/>
    </x:row>
    <x:row r="125">
      <x:c r="A125" s="79" t="str"/>
      <x:c r="B125" s="80" t="str"/>
      <x:c r="C125" s="35" t="str"/>
      <x:c r="D125" s="35" t="str"/>
      <x:c r="E125" s="35" t="str"/>
      <x:c r="F125" s="35" t="str"/>
      <x:c r="G125" s="81" t="str"/>
      <x:c r="H125" s="81" t="str"/>
      <x:c r="I125" s="81" t="str"/>
      <x:c r="J125" s="81" t="str"/>
      <x:c r="K125" s="33" t="str">
        <x:f>IF(OR(I125="",J125=""),"",IFERROR(I125/J125,0))</x:f>
      </x:c>
      <x:c r="L125" s="35" t="str"/>
      <x:c r="M125" s="36" t="str"/>
    </x:row>
    <x:row r="126">
      <x:c r="A126" s="79" t="str"/>
      <x:c r="B126" s="80" t="str"/>
      <x:c r="C126" s="35" t="str"/>
      <x:c r="D126" s="35" t="str"/>
      <x:c r="E126" s="35" t="str"/>
      <x:c r="F126" s="35" t="str"/>
      <x:c r="G126" s="81" t="str"/>
      <x:c r="H126" s="81" t="str"/>
      <x:c r="I126" s="81" t="str"/>
      <x:c r="J126" s="81" t="str"/>
      <x:c r="K126" s="33" t="str">
        <x:f>IF(OR(I126="",J126=""),"",IFERROR(I126/J126,0))</x:f>
      </x:c>
      <x:c r="L126" s="35" t="str"/>
      <x:c r="M126" s="36" t="str"/>
    </x:row>
    <x:row r="127">
      <x:c r="A127" s="79" t="str"/>
      <x:c r="B127" s="80" t="str"/>
      <x:c r="C127" s="35" t="str"/>
      <x:c r="D127" s="35" t="str"/>
      <x:c r="E127" s="35" t="str"/>
      <x:c r="F127" s="35" t="str"/>
      <x:c r="G127" s="81" t="str"/>
      <x:c r="H127" s="81" t="str"/>
      <x:c r="I127" s="81" t="str"/>
      <x:c r="J127" s="81" t="str"/>
      <x:c r="K127" s="33" t="str">
        <x:f>IF(OR(I127="",J127=""),"",IFERROR(I127/J127,0))</x:f>
      </x:c>
      <x:c r="L127" s="35" t="str"/>
      <x:c r="M127" s="36" t="str"/>
    </x:row>
    <x:row r="128">
      <x:c r="A128" s="79" t="str"/>
      <x:c r="B128" s="80" t="str"/>
      <x:c r="C128" s="35" t="str"/>
      <x:c r="D128" s="35" t="str"/>
      <x:c r="E128" s="35" t="str"/>
      <x:c r="F128" s="35" t="str"/>
      <x:c r="G128" s="81" t="str"/>
      <x:c r="H128" s="81" t="str"/>
      <x:c r="I128" s="81" t="str"/>
      <x:c r="J128" s="81" t="str"/>
      <x:c r="K128" s="33" t="str">
        <x:f>IF(OR(I128="",J128=""),"",IFERROR(I128/J128,0))</x:f>
      </x:c>
      <x:c r="L128" s="35" t="str"/>
      <x:c r="M128" s="36" t="str"/>
    </x:row>
    <x:row r="129">
      <x:c r="A129" s="79" t="str"/>
      <x:c r="B129" s="80" t="str"/>
      <x:c r="C129" s="35" t="str"/>
      <x:c r="D129" s="35" t="str"/>
      <x:c r="E129" s="35" t="str"/>
      <x:c r="F129" s="35" t="str"/>
      <x:c r="G129" s="81" t="str"/>
      <x:c r="H129" s="81" t="str"/>
      <x:c r="I129" s="81" t="str"/>
      <x:c r="J129" s="81" t="str"/>
      <x:c r="K129" s="33" t="str">
        <x:f>IF(OR(I129="",J129=""),"",IFERROR(I129/J129,0))</x:f>
      </x:c>
      <x:c r="L129" s="35" t="str"/>
      <x:c r="M129" s="36" t="str"/>
    </x:row>
    <x:row r="130">
      <x:c r="A130" s="79" t="str"/>
      <x:c r="B130" s="80" t="str"/>
      <x:c r="C130" s="35" t="str"/>
      <x:c r="D130" s="35" t="str"/>
      <x:c r="E130" s="35" t="str"/>
      <x:c r="F130" s="35" t="str"/>
      <x:c r="G130" s="81" t="str"/>
      <x:c r="H130" s="81" t="str"/>
      <x:c r="I130" s="81" t="str"/>
      <x:c r="J130" s="81" t="str"/>
      <x:c r="K130" s="33" t="str">
        <x:f>IF(OR(I130="",J130=""),"",IFERROR(I130/J130,0))</x:f>
      </x:c>
      <x:c r="L130" s="35" t="str"/>
      <x:c r="M130" s="36" t="str"/>
    </x:row>
    <x:row r="131">
      <x:c r="A131" s="79" t="str"/>
      <x:c r="B131" s="80" t="str"/>
      <x:c r="C131" s="35" t="str"/>
      <x:c r="D131" s="35" t="str"/>
      <x:c r="E131" s="35" t="str"/>
      <x:c r="F131" s="35" t="str"/>
      <x:c r="G131" s="81" t="str"/>
      <x:c r="H131" s="81" t="str"/>
      <x:c r="I131" s="81" t="str"/>
      <x:c r="J131" s="81" t="str"/>
      <x:c r="K131" s="33" t="str">
        <x:f>IF(OR(I131="",J131=""),"",IFERROR(I131/J131,0))</x:f>
      </x:c>
      <x:c r="L131" s="35" t="str"/>
      <x:c r="M131" s="36" t="str"/>
    </x:row>
    <x:row r="132">
      <x:c r="A132" s="79" t="str"/>
      <x:c r="B132" s="80" t="str"/>
      <x:c r="C132" s="35" t="str"/>
      <x:c r="D132" s="35" t="str"/>
      <x:c r="E132" s="35" t="str"/>
      <x:c r="F132" s="35" t="str"/>
      <x:c r="G132" s="81" t="str"/>
      <x:c r="H132" s="81" t="str"/>
      <x:c r="I132" s="81" t="str"/>
      <x:c r="J132" s="81" t="str"/>
      <x:c r="K132" s="33" t="str">
        <x:f>IF(OR(I132="",J132=""),"",IFERROR(I132/J132,0))</x:f>
      </x:c>
      <x:c r="L132" s="35" t="str"/>
      <x:c r="M132" s="36" t="str"/>
    </x:row>
    <x:row r="133">
      <x:c r="A133" s="79" t="str"/>
      <x:c r="B133" s="80" t="str"/>
      <x:c r="C133" s="35" t="str"/>
      <x:c r="D133" s="35" t="str"/>
      <x:c r="E133" s="35" t="str"/>
      <x:c r="F133" s="35" t="str"/>
      <x:c r="G133" s="81" t="str"/>
      <x:c r="H133" s="81" t="str"/>
      <x:c r="I133" s="81" t="str"/>
      <x:c r="J133" s="81" t="str"/>
      <x:c r="K133" s="33" t="str">
        <x:f>IF(OR(I133="",J133=""),"",IFERROR(I133/J133,0))</x:f>
      </x:c>
      <x:c r="L133" s="35" t="str"/>
      <x:c r="M133" s="36" t="str"/>
    </x:row>
    <x:row r="134">
      <x:c r="A134" s="79" t="str"/>
      <x:c r="B134" s="80" t="str"/>
      <x:c r="C134" s="35" t="str"/>
      <x:c r="D134" s="35" t="str"/>
      <x:c r="E134" s="35" t="str"/>
      <x:c r="F134" s="35" t="str"/>
      <x:c r="G134" s="81" t="str"/>
      <x:c r="H134" s="81" t="str"/>
      <x:c r="I134" s="81" t="str"/>
      <x:c r="J134" s="81" t="str"/>
      <x:c r="K134" s="33" t="str">
        <x:f>IF(OR(I134="",J134=""),"",IFERROR(I134/J134,0))</x:f>
      </x:c>
      <x:c r="L134" s="35" t="str"/>
      <x:c r="M134" s="36" t="str"/>
    </x:row>
    <x:row r="135">
      <x:c r="A135" s="79" t="str"/>
      <x:c r="B135" s="80" t="str"/>
      <x:c r="C135" s="35" t="str"/>
      <x:c r="D135" s="35" t="str"/>
      <x:c r="E135" s="35" t="str"/>
      <x:c r="F135" s="35" t="str"/>
      <x:c r="G135" s="81" t="str"/>
      <x:c r="H135" s="81" t="str"/>
      <x:c r="I135" s="81" t="str"/>
      <x:c r="J135" s="81" t="str"/>
      <x:c r="K135" s="33" t="str">
        <x:f>IF(OR(I135="",J135=""),"",IFERROR(I135/J135,0))</x:f>
      </x:c>
      <x:c r="L135" s="35" t="str"/>
      <x:c r="M135" s="36" t="str"/>
    </x:row>
    <x:row r="136">
      <x:c r="A136" s="79" t="str"/>
      <x:c r="B136" s="80" t="str"/>
      <x:c r="C136" s="35" t="str"/>
      <x:c r="D136" s="35" t="str"/>
      <x:c r="E136" s="35" t="str"/>
      <x:c r="F136" s="35" t="str"/>
      <x:c r="G136" s="81" t="str"/>
      <x:c r="H136" s="81" t="str"/>
      <x:c r="I136" s="81" t="str"/>
      <x:c r="J136" s="81" t="str"/>
      <x:c r="K136" s="33" t="str">
        <x:f>IF(OR(I136="",J136=""),"",IFERROR(I136/J136,0))</x:f>
      </x:c>
      <x:c r="L136" s="35" t="str"/>
      <x:c r="M136" s="36" t="str"/>
    </x:row>
    <x:row r="137">
      <x:c r="A137" s="79" t="str"/>
      <x:c r="B137" s="80" t="str"/>
      <x:c r="C137" s="35" t="str"/>
      <x:c r="D137" s="35" t="str"/>
      <x:c r="E137" s="35" t="str"/>
      <x:c r="F137" s="35" t="str"/>
      <x:c r="G137" s="81" t="str"/>
      <x:c r="H137" s="81" t="str"/>
      <x:c r="I137" s="81" t="str"/>
      <x:c r="J137" s="81" t="str"/>
      <x:c r="K137" s="33" t="str">
        <x:f>IF(OR(I137="",J137=""),"",IFERROR(I137/J137,0))</x:f>
      </x:c>
      <x:c r="L137" s="35" t="str"/>
      <x:c r="M137" s="36" t="str"/>
    </x:row>
    <x:row r="138">
      <x:c r="A138" s="79" t="str"/>
      <x:c r="B138" s="80" t="str"/>
      <x:c r="C138" s="35" t="str"/>
      <x:c r="D138" s="35" t="str"/>
      <x:c r="E138" s="35" t="str"/>
      <x:c r="F138" s="35" t="str"/>
      <x:c r="G138" s="81" t="str"/>
      <x:c r="H138" s="81" t="str"/>
      <x:c r="I138" s="81" t="str"/>
      <x:c r="J138" s="81" t="str"/>
      <x:c r="K138" s="33" t="str">
        <x:f>IF(OR(I138="",J138=""),"",IFERROR(I138/J138,0))</x:f>
      </x:c>
      <x:c r="L138" s="35" t="str"/>
      <x:c r="M138" s="36" t="str"/>
    </x:row>
    <x:row r="139">
      <x:c r="A139" s="79" t="str"/>
      <x:c r="B139" s="80" t="str"/>
      <x:c r="C139" s="35" t="str"/>
      <x:c r="D139" s="35" t="str"/>
      <x:c r="E139" s="35" t="str"/>
      <x:c r="F139" s="35" t="str"/>
      <x:c r="G139" s="81" t="str"/>
      <x:c r="H139" s="81" t="str"/>
      <x:c r="I139" s="81" t="str"/>
      <x:c r="J139" s="81" t="str"/>
      <x:c r="K139" s="33" t="str">
        <x:f>IF(OR(I139="",J139=""),"",IFERROR(I139/J139,0))</x:f>
      </x:c>
      <x:c r="L139" s="35" t="str"/>
      <x:c r="M139" s="36" t="str"/>
    </x:row>
    <x:row r="140">
      <x:c r="A140" s="79" t="str"/>
      <x:c r="B140" s="80" t="str"/>
      <x:c r="C140" s="35" t="str"/>
      <x:c r="D140" s="35" t="str"/>
      <x:c r="E140" s="35" t="str"/>
      <x:c r="F140" s="35" t="str"/>
      <x:c r="G140" s="81" t="str"/>
      <x:c r="H140" s="81" t="str"/>
      <x:c r="I140" s="81" t="str"/>
      <x:c r="J140" s="81" t="str"/>
      <x:c r="K140" s="33" t="str">
        <x:f>IF(OR(I140="",J140=""),"",IFERROR(I140/J140,0))</x:f>
      </x:c>
      <x:c r="L140" s="35" t="str"/>
      <x:c r="M140" s="36" t="str"/>
    </x:row>
    <x:row r="141">
      <x:c r="A141" s="79" t="str"/>
      <x:c r="B141" s="80" t="str"/>
      <x:c r="C141" s="35" t="str"/>
      <x:c r="D141" s="35" t="str"/>
      <x:c r="E141" s="35" t="str"/>
      <x:c r="F141" s="35" t="str"/>
      <x:c r="G141" s="81" t="str"/>
      <x:c r="H141" s="81" t="str"/>
      <x:c r="I141" s="81" t="str"/>
      <x:c r="J141" s="81" t="str"/>
      <x:c r="K141" s="33" t="str">
        <x:f>IF(OR(I141="",J141=""),"",IFERROR(I141/J141,0))</x:f>
      </x:c>
      <x:c r="L141" s="35" t="str"/>
      <x:c r="M141" s="36" t="str"/>
    </x:row>
    <x:row r="142">
      <x:c r="A142" s="79" t="str"/>
      <x:c r="B142" s="80" t="str"/>
      <x:c r="C142" s="35" t="str"/>
      <x:c r="D142" s="35" t="str"/>
      <x:c r="E142" s="35" t="str"/>
      <x:c r="F142" s="35" t="str"/>
      <x:c r="G142" s="81" t="str"/>
      <x:c r="H142" s="81" t="str"/>
      <x:c r="I142" s="81" t="str"/>
      <x:c r="J142" s="81" t="str"/>
      <x:c r="K142" s="33" t="str">
        <x:f>IF(OR(I142="",J142=""),"",IFERROR(I142/J142,0))</x:f>
      </x:c>
      <x:c r="L142" s="35" t="str"/>
      <x:c r="M142" s="36" t="str"/>
    </x:row>
    <x:row r="143">
      <x:c r="A143" s="79" t="str"/>
      <x:c r="B143" s="80" t="str"/>
      <x:c r="C143" s="35" t="str"/>
      <x:c r="D143" s="35" t="str"/>
      <x:c r="E143" s="35" t="str"/>
      <x:c r="F143" s="35" t="str"/>
      <x:c r="G143" s="81" t="str"/>
      <x:c r="H143" s="81" t="str"/>
      <x:c r="I143" s="81" t="str"/>
      <x:c r="J143" s="81" t="str"/>
      <x:c r="K143" s="33" t="str">
        <x:f>IF(OR(I143="",J143=""),"",IFERROR(I143/J143,0))</x:f>
      </x:c>
      <x:c r="L143" s="35" t="str"/>
      <x:c r="M143" s="36" t="str"/>
    </x:row>
    <x:row r="144">
      <x:c r="A144" s="79" t="str"/>
      <x:c r="B144" s="80" t="str"/>
      <x:c r="C144" s="35" t="str"/>
      <x:c r="D144" s="35" t="str"/>
      <x:c r="E144" s="35" t="str"/>
      <x:c r="F144" s="35" t="str"/>
      <x:c r="G144" s="81" t="str"/>
      <x:c r="H144" s="81" t="str"/>
      <x:c r="I144" s="81" t="str"/>
      <x:c r="J144" s="81" t="str"/>
      <x:c r="K144" s="33" t="str">
        <x:f>IF(OR(I144="",J144=""),"",IFERROR(I144/J144,0))</x:f>
      </x:c>
      <x:c r="L144" s="35" t="str"/>
      <x:c r="M144" s="36" t="str"/>
    </x:row>
    <x:row r="145">
      <x:c r="A145" s="79" t="str"/>
      <x:c r="B145" s="80" t="str"/>
      <x:c r="C145" s="35" t="str"/>
      <x:c r="D145" s="35" t="str"/>
      <x:c r="E145" s="35" t="str"/>
      <x:c r="F145" s="35" t="str"/>
      <x:c r="G145" s="81" t="str"/>
      <x:c r="H145" s="81" t="str"/>
      <x:c r="I145" s="81" t="str"/>
      <x:c r="J145" s="81" t="str"/>
      <x:c r="K145" s="33" t="str">
        <x:f>IF(OR(I145="",J145=""),"",IFERROR(I145/J145,0))</x:f>
      </x:c>
      <x:c r="L145" s="35" t="str"/>
      <x:c r="M145" s="36" t="str"/>
    </x:row>
    <x:row r="146">
      <x:c r="A146" s="79" t="str"/>
      <x:c r="B146" s="80" t="str"/>
      <x:c r="C146" s="35" t="str"/>
      <x:c r="D146" s="35" t="str"/>
      <x:c r="E146" s="35" t="str"/>
      <x:c r="F146" s="35" t="str"/>
      <x:c r="G146" s="81" t="str"/>
      <x:c r="H146" s="81" t="str"/>
      <x:c r="I146" s="81" t="str"/>
      <x:c r="J146" s="81" t="str"/>
      <x:c r="K146" s="33" t="str">
        <x:f>IF(OR(I146="",J146=""),"",IFERROR(I146/J146,0))</x:f>
      </x:c>
      <x:c r="L146" s="35" t="str"/>
      <x:c r="M146" s="36" t="str"/>
    </x:row>
    <x:row r="147">
      <x:c r="A147" s="79" t="str"/>
      <x:c r="B147" s="80" t="str"/>
      <x:c r="C147" s="35" t="str"/>
      <x:c r="D147" s="35" t="str"/>
      <x:c r="E147" s="35" t="str"/>
      <x:c r="F147" s="35" t="str"/>
      <x:c r="G147" s="81" t="str"/>
      <x:c r="H147" s="81" t="str"/>
      <x:c r="I147" s="81" t="str"/>
      <x:c r="J147" s="81" t="str"/>
      <x:c r="K147" s="33" t="str">
        <x:f>IF(OR(I147="",J147=""),"",IFERROR(I147/J147,0))</x:f>
      </x:c>
      <x:c r="L147" s="35" t="str"/>
      <x:c r="M147" s="36" t="str"/>
    </x:row>
    <x:row r="148">
      <x:c r="A148" s="79" t="str"/>
      <x:c r="B148" s="80" t="str"/>
      <x:c r="C148" s="35" t="str"/>
      <x:c r="D148" s="35" t="str"/>
      <x:c r="E148" s="35" t="str"/>
      <x:c r="F148" s="35" t="str"/>
      <x:c r="G148" s="81" t="str"/>
      <x:c r="H148" s="81" t="str"/>
      <x:c r="I148" s="81" t="str"/>
      <x:c r="J148" s="81" t="str"/>
      <x:c r="K148" s="33" t="str">
        <x:f>IF(OR(I148="",J148=""),"",IFERROR(I148/J148,0))</x:f>
      </x:c>
      <x:c r="L148" s="35" t="str"/>
      <x:c r="M148" s="36" t="str"/>
    </x:row>
    <x:row r="149">
      <x:c r="A149" s="79" t="str"/>
      <x:c r="B149" s="80" t="str"/>
      <x:c r="C149" s="35" t="str"/>
      <x:c r="D149" s="35" t="str"/>
      <x:c r="E149" s="35" t="str"/>
      <x:c r="F149" s="35" t="str"/>
      <x:c r="G149" s="81" t="str"/>
      <x:c r="H149" s="81" t="str"/>
      <x:c r="I149" s="81" t="str"/>
      <x:c r="J149" s="81" t="str"/>
      <x:c r="K149" s="33" t="str">
        <x:f>IF(OR(I149="",J149=""),"",IFERROR(I149/J149,0))</x:f>
      </x:c>
      <x:c r="L149" s="35" t="str"/>
      <x:c r="M149" s="36" t="str"/>
    </x:row>
    <x:row r="150">
      <x:c r="A150" s="79" t="str"/>
      <x:c r="B150" s="80" t="str"/>
      <x:c r="C150" s="35" t="str"/>
      <x:c r="D150" s="35" t="str"/>
      <x:c r="E150" s="35" t="str"/>
      <x:c r="F150" s="35" t="str"/>
      <x:c r="G150" s="81" t="str"/>
      <x:c r="H150" s="81" t="str"/>
      <x:c r="I150" s="81" t="str"/>
      <x:c r="J150" s="81" t="str"/>
      <x:c r="K150" s="33" t="str">
        <x:f>IF(OR(I150="",J150=""),"",IFERROR(I150/J150,0))</x:f>
      </x:c>
      <x:c r="L150" s="35" t="str"/>
      <x:c r="M150" s="36" t="str"/>
    </x:row>
    <x:row r="151">
      <x:c r="A151" s="79" t="str"/>
      <x:c r="B151" s="80" t="str"/>
      <x:c r="C151" s="35" t="str"/>
      <x:c r="D151" s="35" t="str"/>
      <x:c r="E151" s="35" t="str"/>
      <x:c r="F151" s="35" t="str"/>
      <x:c r="G151" s="81" t="str"/>
      <x:c r="H151" s="81" t="str"/>
      <x:c r="I151" s="81" t="str"/>
      <x:c r="J151" s="81" t="str"/>
      <x:c r="K151" s="33" t="str">
        <x:f>IF(OR(I151="",J151=""),"",IFERROR(I151/J151,0))</x:f>
      </x:c>
      <x:c r="L151" s="35" t="str"/>
      <x:c r="M151" s="36" t="str"/>
    </x:row>
    <x:row r="152">
      <x:c r="A152" s="79" t="str"/>
      <x:c r="B152" s="80" t="str"/>
      <x:c r="C152" s="35" t="str"/>
      <x:c r="D152" s="35" t="str"/>
      <x:c r="E152" s="35" t="str"/>
      <x:c r="F152" s="35" t="str"/>
      <x:c r="G152" s="81" t="str"/>
      <x:c r="H152" s="81" t="str"/>
      <x:c r="I152" s="81" t="str"/>
      <x:c r="J152" s="81" t="str"/>
      <x:c r="K152" s="33" t="str">
        <x:f>IF(OR(I152="",J152=""),"",IFERROR(I152/J152,0))</x:f>
      </x:c>
      <x:c r="L152" s="35" t="str"/>
      <x:c r="M152" s="36" t="str"/>
    </x:row>
    <x:row r="153">
      <x:c r="A153" s="79" t="str"/>
      <x:c r="B153" s="80" t="str"/>
      <x:c r="C153" s="35" t="str"/>
      <x:c r="D153" s="35" t="str"/>
      <x:c r="E153" s="35" t="str"/>
      <x:c r="F153" s="35" t="str"/>
      <x:c r="G153" s="81" t="str"/>
      <x:c r="H153" s="81" t="str"/>
      <x:c r="I153" s="81" t="str"/>
      <x:c r="J153" s="81" t="str"/>
      <x:c r="K153" s="33" t="str">
        <x:f>IF(OR(I153="",J153=""),"",IFERROR(I153/J153,0))</x:f>
      </x:c>
      <x:c r="L153" s="35" t="str"/>
      <x:c r="M153" s="36" t="str"/>
    </x:row>
    <x:row r="154">
      <x:c r="A154" s="79" t="str"/>
      <x:c r="B154" s="80" t="str"/>
      <x:c r="C154" s="35" t="str"/>
      <x:c r="D154" s="35" t="str"/>
      <x:c r="E154" s="35" t="str"/>
      <x:c r="F154" s="35" t="str"/>
      <x:c r="G154" s="81" t="str"/>
      <x:c r="H154" s="81" t="str"/>
      <x:c r="I154" s="81" t="str"/>
      <x:c r="J154" s="81" t="str"/>
      <x:c r="K154" s="33" t="str">
        <x:f>IF(OR(I154="",J154=""),"",IFERROR(I154/J154,0))</x:f>
      </x:c>
      <x:c r="L154" s="35" t="str"/>
      <x:c r="M154" s="36" t="str"/>
    </x:row>
    <x:row r="155">
      <x:c r="A155" s="79" t="str"/>
      <x:c r="B155" s="80" t="str"/>
      <x:c r="C155" s="35" t="str"/>
      <x:c r="D155" s="35" t="str"/>
      <x:c r="E155" s="35" t="str"/>
      <x:c r="F155" s="35" t="str"/>
      <x:c r="G155" s="81" t="str"/>
      <x:c r="H155" s="81" t="str"/>
      <x:c r="I155" s="81" t="str"/>
      <x:c r="J155" s="81" t="str"/>
      <x:c r="K155" s="33" t="str">
        <x:f>IF(OR(I155="",J155=""),"",IFERROR(I155/J155,0))</x:f>
      </x:c>
      <x:c r="L155" s="35" t="str"/>
      <x:c r="M155" s="36" t="str"/>
    </x:row>
    <x:row r="156">
      <x:c r="A156" s="79" t="str"/>
      <x:c r="B156" s="80" t="str"/>
      <x:c r="C156" s="35" t="str"/>
      <x:c r="D156" s="35" t="str"/>
      <x:c r="E156" s="35" t="str"/>
      <x:c r="F156" s="35" t="str"/>
      <x:c r="G156" s="81" t="str"/>
      <x:c r="H156" s="81" t="str"/>
      <x:c r="I156" s="81" t="str"/>
      <x:c r="J156" s="81" t="str"/>
      <x:c r="K156" s="33" t="str">
        <x:f>IF(OR(I156="",J156=""),"",IFERROR(I156/J156,0))</x:f>
      </x:c>
      <x:c r="L156" s="35" t="str"/>
      <x:c r="M156" s="36" t="str"/>
    </x:row>
    <x:row r="157">
      <x:c r="A157" s="79" t="str"/>
      <x:c r="B157" s="80" t="str"/>
      <x:c r="C157" s="35" t="str"/>
      <x:c r="D157" s="35" t="str"/>
      <x:c r="E157" s="35" t="str"/>
      <x:c r="F157" s="35" t="str"/>
      <x:c r="G157" s="81" t="str"/>
      <x:c r="H157" s="81" t="str"/>
      <x:c r="I157" s="81" t="str"/>
      <x:c r="J157" s="81" t="str"/>
      <x:c r="K157" s="33" t="str">
        <x:f>IF(OR(I157="",J157=""),"",IFERROR(I157/J157,0))</x:f>
      </x:c>
      <x:c r="L157" s="35" t="str"/>
      <x:c r="M157" s="36" t="str"/>
    </x:row>
    <x:row r="158">
      <x:c r="A158" s="79" t="str"/>
      <x:c r="B158" s="80" t="str"/>
      <x:c r="C158" s="35" t="str"/>
      <x:c r="D158" s="35" t="str"/>
      <x:c r="E158" s="35" t="str"/>
      <x:c r="F158" s="35" t="str"/>
      <x:c r="G158" s="81" t="str"/>
      <x:c r="H158" s="81" t="str"/>
      <x:c r="I158" s="81" t="str"/>
      <x:c r="J158" s="81" t="str"/>
      <x:c r="K158" s="33" t="str">
        <x:f>IF(OR(I158="",J158=""),"",IFERROR(I158/J158,0))</x:f>
      </x:c>
      <x:c r="L158" s="35" t="str"/>
      <x:c r="M158" s="36" t="str"/>
    </x:row>
    <x:row r="159">
      <x:c r="A159" s="79" t="str"/>
      <x:c r="B159" s="80" t="str"/>
      <x:c r="C159" s="35" t="str"/>
      <x:c r="D159" s="35" t="str"/>
      <x:c r="E159" s="35" t="str"/>
      <x:c r="F159" s="35" t="str"/>
      <x:c r="G159" s="81" t="str"/>
      <x:c r="H159" s="81" t="str"/>
      <x:c r="I159" s="81" t="str"/>
      <x:c r="J159" s="81" t="str"/>
      <x:c r="K159" s="33" t="str">
        <x:f>IF(OR(I159="",J159=""),"",IFERROR(I159/J159,0))</x:f>
      </x:c>
      <x:c r="L159" s="35" t="str"/>
      <x:c r="M159" s="36" t="str"/>
    </x:row>
    <x:row r="160">
      <x:c r="A160" s="79" t="str"/>
      <x:c r="B160" s="80" t="str"/>
      <x:c r="C160" s="35" t="str"/>
      <x:c r="D160" s="35" t="str"/>
      <x:c r="E160" s="35" t="str"/>
      <x:c r="F160" s="35" t="str"/>
      <x:c r="G160" s="81" t="str"/>
      <x:c r="H160" s="81" t="str"/>
      <x:c r="I160" s="81" t="str"/>
      <x:c r="J160" s="81" t="str"/>
      <x:c r="K160" s="33" t="str">
        <x:f>IF(OR(I160="",J160=""),"",IFERROR(I160/J160,0))</x:f>
      </x:c>
      <x:c r="L160" s="35" t="str"/>
      <x:c r="M160" s="36" t="str"/>
    </x:row>
    <x:row r="161">
      <x:c r="A161" s="79" t="str"/>
      <x:c r="B161" s="80" t="str"/>
      <x:c r="C161" s="35" t="str"/>
      <x:c r="D161" s="35" t="str"/>
      <x:c r="E161" s="35" t="str"/>
      <x:c r="F161" s="35" t="str"/>
      <x:c r="G161" s="81" t="str"/>
      <x:c r="H161" s="81" t="str"/>
      <x:c r="I161" s="81" t="str"/>
      <x:c r="J161" s="81" t="str"/>
      <x:c r="K161" s="33" t="str">
        <x:f>IF(OR(I161="",J161=""),"",IFERROR(I161/J161,0))</x:f>
      </x:c>
      <x:c r="L161" s="35" t="str"/>
      <x:c r="M161" s="36" t="str"/>
    </x:row>
    <x:row r="162">
      <x:c r="A162" s="79" t="str"/>
      <x:c r="B162" s="80" t="str"/>
      <x:c r="C162" s="35" t="str"/>
      <x:c r="D162" s="35" t="str"/>
      <x:c r="E162" s="35" t="str"/>
      <x:c r="F162" s="35" t="str"/>
      <x:c r="G162" s="81" t="str"/>
      <x:c r="H162" s="81" t="str"/>
      <x:c r="I162" s="81" t="str"/>
      <x:c r="J162" s="81" t="str"/>
      <x:c r="K162" s="33" t="str">
        <x:f>IF(OR(I162="",J162=""),"",IFERROR(I162/J162,0))</x:f>
      </x:c>
      <x:c r="L162" s="35" t="str"/>
      <x:c r="M162" s="36" t="str"/>
    </x:row>
    <x:row r="163">
      <x:c r="A163" s="79" t="str"/>
      <x:c r="B163" s="80" t="str"/>
      <x:c r="C163" s="35" t="str"/>
      <x:c r="D163" s="35" t="str"/>
      <x:c r="E163" s="35" t="str"/>
      <x:c r="F163" s="35" t="str"/>
      <x:c r="G163" s="81" t="str"/>
      <x:c r="H163" s="81" t="str"/>
      <x:c r="I163" s="81" t="str"/>
      <x:c r="J163" s="81" t="str"/>
      <x:c r="K163" s="33" t="str">
        <x:f>IF(OR(I163="",J163=""),"",IFERROR(I163/J163,0))</x:f>
      </x:c>
      <x:c r="L163" s="35" t="str"/>
      <x:c r="M163" s="36" t="str"/>
    </x:row>
    <x:row r="164">
      <x:c r="A164" s="79" t="str"/>
      <x:c r="B164" s="80" t="str"/>
      <x:c r="C164" s="35" t="str"/>
      <x:c r="D164" s="35" t="str"/>
      <x:c r="E164" s="35" t="str"/>
      <x:c r="F164" s="35" t="str"/>
      <x:c r="G164" s="81" t="str"/>
      <x:c r="H164" s="81" t="str"/>
      <x:c r="I164" s="81" t="str"/>
      <x:c r="J164" s="81" t="str"/>
      <x:c r="K164" s="33" t="str">
        <x:f>IF(OR(I164="",J164=""),"",IFERROR(I164/J164,0))</x:f>
      </x:c>
      <x:c r="L164" s="35" t="str"/>
      <x:c r="M164" s="36" t="str"/>
    </x:row>
    <x:row r="165">
      <x:c r="A165" s="79" t="str"/>
      <x:c r="B165" s="80" t="str"/>
      <x:c r="C165" s="35" t="str"/>
      <x:c r="D165" s="35" t="str"/>
      <x:c r="E165" s="35" t="str"/>
      <x:c r="F165" s="35" t="str"/>
      <x:c r="G165" s="81" t="str"/>
      <x:c r="H165" s="81" t="str"/>
      <x:c r="I165" s="81" t="str"/>
      <x:c r="J165" s="81" t="str"/>
      <x:c r="K165" s="33" t="str">
        <x:f>IF(OR(I165="",J165=""),"",IFERROR(I165/J165,0))</x:f>
      </x:c>
      <x:c r="L165" s="35" t="str"/>
      <x:c r="M165" s="36" t="str"/>
    </x:row>
    <x:row r="166">
      <x:c r="A166" s="79" t="str"/>
      <x:c r="B166" s="80" t="str"/>
      <x:c r="C166" s="35" t="str"/>
      <x:c r="D166" s="35" t="str"/>
      <x:c r="E166" s="35" t="str"/>
      <x:c r="F166" s="35" t="str"/>
      <x:c r="G166" s="81" t="str"/>
      <x:c r="H166" s="81" t="str"/>
      <x:c r="I166" s="81" t="str"/>
      <x:c r="J166" s="81" t="str"/>
      <x:c r="K166" s="33" t="str">
        <x:f>IF(OR(I166="",J166=""),"",IFERROR(I166/J166,0))</x:f>
      </x:c>
      <x:c r="L166" s="35" t="str"/>
      <x:c r="M166" s="36" t="str"/>
    </x:row>
    <x:row r="167">
      <x:c r="A167" s="79" t="str"/>
      <x:c r="B167" s="80" t="str"/>
      <x:c r="C167" s="35" t="str"/>
      <x:c r="D167" s="35" t="str"/>
      <x:c r="E167" s="35" t="str"/>
      <x:c r="F167" s="35" t="str"/>
      <x:c r="G167" s="81" t="str"/>
      <x:c r="H167" s="81" t="str"/>
      <x:c r="I167" s="81" t="str"/>
      <x:c r="J167" s="81" t="str"/>
      <x:c r="K167" s="33" t="str">
        <x:f>IF(OR(I167="",J167=""),"",IFERROR(I167/J167,0))</x:f>
      </x:c>
      <x:c r="L167" s="35" t="str"/>
      <x:c r="M167" s="36" t="str"/>
    </x:row>
    <x:row r="168">
      <x:c r="A168" s="79" t="str"/>
      <x:c r="B168" s="80" t="str"/>
      <x:c r="C168" s="35" t="str"/>
      <x:c r="D168" s="35" t="str"/>
      <x:c r="E168" s="35" t="str"/>
      <x:c r="F168" s="35" t="str"/>
      <x:c r="G168" s="81" t="str"/>
      <x:c r="H168" s="81" t="str"/>
      <x:c r="I168" s="81" t="str"/>
      <x:c r="J168" s="81" t="str"/>
      <x:c r="K168" s="33" t="str">
        <x:f>IF(OR(I168="",J168=""),"",IFERROR(I168/J168,0))</x:f>
      </x:c>
      <x:c r="L168" s="35" t="str"/>
      <x:c r="M168" s="36" t="str"/>
    </x:row>
    <x:row r="169">
      <x:c r="A169" s="79" t="str"/>
      <x:c r="B169" s="80" t="str"/>
      <x:c r="C169" s="35" t="str"/>
      <x:c r="D169" s="35" t="str"/>
      <x:c r="E169" s="35" t="str"/>
      <x:c r="F169" s="35" t="str"/>
      <x:c r="G169" s="81" t="str"/>
      <x:c r="H169" s="81" t="str"/>
      <x:c r="I169" s="81" t="str"/>
      <x:c r="J169" s="81" t="str"/>
      <x:c r="K169" s="33" t="str">
        <x:f>IF(OR(I169="",J169=""),"",IFERROR(I169/J169,0))</x:f>
      </x:c>
      <x:c r="L169" s="35" t="str"/>
      <x:c r="M169" s="36" t="str"/>
    </x:row>
    <x:row r="170">
      <x:c r="A170" s="79" t="str"/>
      <x:c r="B170" s="80" t="str"/>
      <x:c r="C170" s="35" t="str"/>
      <x:c r="D170" s="35" t="str"/>
      <x:c r="E170" s="35" t="str"/>
      <x:c r="F170" s="35" t="str"/>
      <x:c r="G170" s="81" t="str"/>
      <x:c r="H170" s="81" t="str"/>
      <x:c r="I170" s="81" t="str"/>
      <x:c r="J170" s="81" t="str"/>
      <x:c r="K170" s="33" t="str">
        <x:f>IF(OR(I170="",J170=""),"",IFERROR(I170/J170,0))</x:f>
      </x:c>
      <x:c r="L170" s="35" t="str"/>
      <x:c r="M170" s="36" t="str"/>
    </x:row>
    <x:row r="171">
      <x:c r="A171" s="79" t="str"/>
      <x:c r="B171" s="80" t="str"/>
      <x:c r="C171" s="35" t="str"/>
      <x:c r="D171" s="35" t="str"/>
      <x:c r="E171" s="35" t="str"/>
      <x:c r="F171" s="35" t="str"/>
      <x:c r="G171" s="81" t="str"/>
      <x:c r="H171" s="81" t="str"/>
      <x:c r="I171" s="81" t="str"/>
      <x:c r="J171" s="81" t="str"/>
      <x:c r="K171" s="33" t="str">
        <x:f>IF(OR(I171="",J171=""),"",IFERROR(I171/J171,0))</x:f>
      </x:c>
      <x:c r="L171" s="35" t="str"/>
      <x:c r="M171" s="36" t="str"/>
    </x:row>
    <x:row r="172">
      <x:c r="A172" s="79" t="str"/>
      <x:c r="B172" s="80" t="str"/>
      <x:c r="C172" s="35" t="str"/>
      <x:c r="D172" s="35" t="str"/>
      <x:c r="E172" s="35" t="str"/>
      <x:c r="F172" s="35" t="str"/>
      <x:c r="G172" s="81" t="str"/>
      <x:c r="H172" s="81" t="str"/>
      <x:c r="I172" s="81" t="str"/>
      <x:c r="J172" s="81" t="str"/>
      <x:c r="K172" s="33" t="str">
        <x:f>IF(OR(I172="",J172=""),"",IFERROR(I172/J172,0))</x:f>
      </x:c>
      <x:c r="L172" s="35" t="str"/>
      <x:c r="M172" s="36" t="str"/>
    </x:row>
    <x:row r="173">
      <x:c r="A173" s="79" t="str"/>
      <x:c r="B173" s="80" t="str"/>
      <x:c r="C173" s="35" t="str"/>
      <x:c r="D173" s="35" t="str"/>
      <x:c r="E173" s="35" t="str"/>
      <x:c r="F173" s="35" t="str"/>
      <x:c r="G173" s="81" t="str"/>
      <x:c r="H173" s="81" t="str"/>
      <x:c r="I173" s="81" t="str"/>
      <x:c r="J173" s="81" t="str"/>
      <x:c r="K173" s="33" t="str">
        <x:f>IF(OR(I173="",J173=""),"",IFERROR(I173/J173,0))</x:f>
      </x:c>
      <x:c r="L173" s="35" t="str"/>
      <x:c r="M173" s="36" t="str"/>
    </x:row>
    <x:row r="174">
      <x:c r="A174" s="79" t="str"/>
      <x:c r="B174" s="80" t="str"/>
      <x:c r="C174" s="35" t="str"/>
      <x:c r="D174" s="35" t="str"/>
      <x:c r="E174" s="35" t="str"/>
      <x:c r="F174" s="35" t="str"/>
      <x:c r="G174" s="81" t="str"/>
      <x:c r="H174" s="81" t="str"/>
      <x:c r="I174" s="81" t="str"/>
      <x:c r="J174" s="81" t="str"/>
      <x:c r="K174" s="33" t="str">
        <x:f>IF(OR(I174="",J174=""),"",IFERROR(I174/J174,0))</x:f>
      </x:c>
      <x:c r="L174" s="35" t="str"/>
      <x:c r="M174" s="36" t="str"/>
    </x:row>
    <x:row r="175">
      <x:c r="A175" s="79" t="str"/>
      <x:c r="B175" s="80" t="str"/>
      <x:c r="C175" s="35" t="str"/>
      <x:c r="D175" s="35" t="str"/>
      <x:c r="E175" s="35" t="str"/>
      <x:c r="F175" s="35" t="str"/>
      <x:c r="G175" s="81" t="str"/>
      <x:c r="H175" s="81" t="str"/>
      <x:c r="I175" s="81" t="str"/>
      <x:c r="J175" s="81" t="str"/>
      <x:c r="K175" s="33" t="str">
        <x:f>IF(OR(I175="",J175=""),"",IFERROR(I175/J175,0))</x:f>
      </x:c>
      <x:c r="L175" s="35" t="str"/>
      <x:c r="M175" s="36" t="str"/>
    </x:row>
    <x:row r="176">
      <x:c r="A176" s="79" t="str"/>
      <x:c r="B176" s="80" t="str"/>
      <x:c r="C176" s="35" t="str"/>
      <x:c r="D176" s="35" t="str"/>
      <x:c r="E176" s="35" t="str"/>
      <x:c r="F176" s="35" t="str"/>
      <x:c r="G176" s="81" t="str"/>
      <x:c r="H176" s="81" t="str"/>
      <x:c r="I176" s="81" t="str"/>
      <x:c r="J176" s="81" t="str"/>
      <x:c r="K176" s="33" t="str">
        <x:f>IF(OR(I176="",J176=""),"",IFERROR(I176/J176,0))</x:f>
      </x:c>
      <x:c r="L176" s="35" t="str"/>
      <x:c r="M176" s="36" t="str"/>
    </x:row>
    <x:row r="177">
      <x:c r="A177" s="79" t="str"/>
      <x:c r="B177" s="80" t="str"/>
      <x:c r="C177" s="35" t="str"/>
      <x:c r="D177" s="35" t="str"/>
      <x:c r="E177" s="35" t="str"/>
      <x:c r="F177" s="35" t="str"/>
      <x:c r="G177" s="81" t="str"/>
      <x:c r="H177" s="81" t="str"/>
      <x:c r="I177" s="81" t="str"/>
      <x:c r="J177" s="81" t="str"/>
      <x:c r="K177" s="33" t="str">
        <x:f>IF(OR(I177="",J177=""),"",IFERROR(I177/J177,0))</x:f>
      </x:c>
      <x:c r="L177" s="35" t="str"/>
      <x:c r="M177" s="36" t="str"/>
    </x:row>
    <x:row r="178">
      <x:c r="A178" s="79" t="str"/>
      <x:c r="B178" s="80" t="str"/>
      <x:c r="C178" s="35" t="str"/>
      <x:c r="D178" s="35" t="str"/>
      <x:c r="E178" s="35" t="str"/>
      <x:c r="F178" s="35" t="str"/>
      <x:c r="G178" s="81" t="str"/>
      <x:c r="H178" s="81" t="str"/>
      <x:c r="I178" s="81" t="str"/>
      <x:c r="J178" s="81" t="str"/>
      <x:c r="K178" s="33" t="str">
        <x:f>IF(OR(I178="",J178=""),"",IFERROR(I178/J178,0))</x:f>
      </x:c>
      <x:c r="L178" s="35" t="str"/>
      <x:c r="M178" s="36" t="str"/>
    </x:row>
    <x:row r="179">
      <x:c r="A179" s="79" t="str"/>
      <x:c r="B179" s="80" t="str"/>
      <x:c r="C179" s="35" t="str"/>
      <x:c r="D179" s="35" t="str"/>
      <x:c r="E179" s="35" t="str"/>
      <x:c r="F179" s="35" t="str"/>
      <x:c r="G179" s="81" t="str"/>
      <x:c r="H179" s="81" t="str"/>
      <x:c r="I179" s="81" t="str"/>
      <x:c r="J179" s="81" t="str"/>
      <x:c r="K179" s="33" t="str">
        <x:f>IF(OR(I179="",J179=""),"",IFERROR(I179/J179,0))</x:f>
      </x:c>
      <x:c r="L179" s="35" t="str"/>
      <x:c r="M179" s="36" t="str"/>
    </x:row>
    <x:row r="180">
      <x:c r="A180" s="79" t="str"/>
      <x:c r="B180" s="80" t="str"/>
      <x:c r="C180" s="35" t="str"/>
      <x:c r="D180" s="35" t="str"/>
      <x:c r="E180" s="35" t="str"/>
      <x:c r="F180" s="35" t="str"/>
      <x:c r="G180" s="81" t="str"/>
      <x:c r="H180" s="81" t="str"/>
      <x:c r="I180" s="81" t="str"/>
      <x:c r="J180" s="81" t="str"/>
      <x:c r="K180" s="33" t="str">
        <x:f>IF(OR(I180="",J180=""),"",IFERROR(I180/J180,0))</x:f>
      </x:c>
      <x:c r="L180" s="35" t="str"/>
      <x:c r="M180" s="36" t="str"/>
    </x:row>
    <x:row r="181">
      <x:c r="A181" s="79" t="str"/>
      <x:c r="B181" s="80" t="str"/>
      <x:c r="C181" s="35" t="str"/>
      <x:c r="D181" s="35" t="str"/>
      <x:c r="E181" s="35" t="str"/>
      <x:c r="F181" s="35" t="str"/>
      <x:c r="G181" s="81" t="str"/>
      <x:c r="H181" s="81" t="str"/>
      <x:c r="I181" s="81" t="str"/>
      <x:c r="J181" s="81" t="str"/>
      <x:c r="K181" s="33" t="str">
        <x:f>IF(OR(I181="",J181=""),"",IFERROR(I181/J181,0))</x:f>
      </x:c>
      <x:c r="L181" s="35" t="str"/>
      <x:c r="M181" s="36" t="str"/>
    </x:row>
    <x:row r="182">
      <x:c r="A182" s="79" t="str"/>
      <x:c r="B182" s="80" t="str"/>
      <x:c r="C182" s="35" t="str"/>
      <x:c r="D182" s="35" t="str"/>
      <x:c r="E182" s="35" t="str"/>
      <x:c r="F182" s="35" t="str"/>
      <x:c r="G182" s="81" t="str"/>
      <x:c r="H182" s="81" t="str"/>
      <x:c r="I182" s="81" t="str"/>
      <x:c r="J182" s="81" t="str"/>
      <x:c r="K182" s="33" t="str">
        <x:f>IF(OR(I182="",J182=""),"",IFERROR(I182/J182,0))</x:f>
      </x:c>
      <x:c r="L182" s="35" t="str"/>
      <x:c r="M182" s="36" t="str"/>
    </x:row>
    <x:row r="183">
      <x:c r="A183" s="79" t="str"/>
      <x:c r="B183" s="80" t="str"/>
      <x:c r="C183" s="35" t="str"/>
      <x:c r="D183" s="35" t="str"/>
      <x:c r="E183" s="35" t="str"/>
      <x:c r="F183" s="35" t="str"/>
      <x:c r="G183" s="81" t="str"/>
      <x:c r="H183" s="81" t="str"/>
      <x:c r="I183" s="81" t="str"/>
      <x:c r="J183" s="81" t="str"/>
      <x:c r="K183" s="33" t="str">
        <x:f>IF(OR(I183="",J183=""),"",IFERROR(I183/J183,0))</x:f>
      </x:c>
      <x:c r="L183" s="35" t="str"/>
      <x:c r="M183" s="36" t="str"/>
    </x:row>
    <x:row r="184">
      <x:c r="A184" s="79" t="str"/>
      <x:c r="B184" s="80" t="str"/>
      <x:c r="C184" s="35" t="str"/>
      <x:c r="D184" s="35" t="str"/>
      <x:c r="E184" s="35" t="str"/>
      <x:c r="F184" s="35" t="str"/>
      <x:c r="G184" s="81" t="str"/>
      <x:c r="H184" s="81" t="str"/>
      <x:c r="I184" s="81" t="str"/>
      <x:c r="J184" s="81" t="str"/>
      <x:c r="K184" s="33" t="str">
        <x:f>IF(OR(I184="",J184=""),"",IFERROR(I184/J184,0))</x:f>
      </x:c>
      <x:c r="L184" s="35" t="str"/>
      <x:c r="M184" s="36" t="str"/>
    </x:row>
    <x:row r="185">
      <x:c r="A185" s="79" t="str"/>
      <x:c r="B185" s="80" t="str"/>
      <x:c r="C185" s="35" t="str"/>
      <x:c r="D185" s="35" t="str"/>
      <x:c r="E185" s="35" t="str"/>
      <x:c r="F185" s="35" t="str"/>
      <x:c r="G185" s="81" t="str"/>
      <x:c r="H185" s="81" t="str"/>
      <x:c r="I185" s="81" t="str"/>
      <x:c r="J185" s="81" t="str"/>
      <x:c r="K185" s="33" t="str">
        <x:f>IF(OR(I185="",J185=""),"",IFERROR(I185/J185,0))</x:f>
      </x:c>
      <x:c r="L185" s="35" t="str"/>
      <x:c r="M185" s="36" t="str"/>
    </x:row>
    <x:row r="186">
      <x:c r="A186" s="79" t="str"/>
      <x:c r="B186" s="80" t="str"/>
      <x:c r="C186" s="35" t="str"/>
      <x:c r="D186" s="35" t="str"/>
      <x:c r="E186" s="35" t="str"/>
      <x:c r="F186" s="35" t="str"/>
      <x:c r="G186" s="81" t="str"/>
      <x:c r="H186" s="81" t="str"/>
      <x:c r="I186" s="81" t="str"/>
      <x:c r="J186" s="81" t="str"/>
      <x:c r="K186" s="33" t="str">
        <x:f>IF(OR(I186="",J186=""),"",IFERROR(I186/J186,0))</x:f>
      </x:c>
      <x:c r="L186" s="35" t="str"/>
      <x:c r="M186" s="36" t="str"/>
    </x:row>
    <x:row r="187">
      <x:c r="A187" s="79" t="str"/>
      <x:c r="B187" s="80" t="str"/>
      <x:c r="C187" s="35" t="str"/>
      <x:c r="D187" s="35" t="str"/>
      <x:c r="E187" s="35" t="str"/>
      <x:c r="F187" s="35" t="str"/>
      <x:c r="G187" s="81" t="str"/>
      <x:c r="H187" s="81" t="str"/>
      <x:c r="I187" s="81" t="str"/>
      <x:c r="J187" s="81" t="str"/>
      <x:c r="K187" s="33" t="str">
        <x:f>IF(OR(I187="",J187=""),"",IFERROR(I187/J187,0))</x:f>
      </x:c>
      <x:c r="L187" s="35" t="str"/>
      <x:c r="M187" s="36" t="str"/>
    </x:row>
    <x:row r="188">
      <x:c r="A188" s="79" t="str"/>
      <x:c r="B188" s="80" t="str"/>
      <x:c r="C188" s="35" t="str"/>
      <x:c r="D188" s="35" t="str"/>
      <x:c r="E188" s="35" t="str"/>
      <x:c r="F188" s="35" t="str"/>
      <x:c r="G188" s="81" t="str"/>
      <x:c r="H188" s="81" t="str"/>
      <x:c r="I188" s="81" t="str"/>
      <x:c r="J188" s="81" t="str"/>
      <x:c r="K188" s="33" t="str">
        <x:f>IF(OR(I188="",J188=""),"",IFERROR(I188/J188,0))</x:f>
      </x:c>
      <x:c r="L188" s="35" t="str"/>
      <x:c r="M188" s="36" t="str"/>
    </x:row>
    <x:row r="189">
      <x:c r="A189" s="79" t="str"/>
      <x:c r="B189" s="80" t="str"/>
      <x:c r="C189" s="35" t="str"/>
      <x:c r="D189" s="35" t="str"/>
      <x:c r="E189" s="35" t="str"/>
      <x:c r="F189" s="35" t="str"/>
      <x:c r="G189" s="81" t="str"/>
      <x:c r="H189" s="81" t="str"/>
      <x:c r="I189" s="81" t="str"/>
      <x:c r="J189" s="81" t="str"/>
      <x:c r="K189" s="33" t="str">
        <x:f>IF(OR(I189="",J189=""),"",IFERROR(I189/J189,0))</x:f>
      </x:c>
      <x:c r="L189" s="35" t="str"/>
      <x:c r="M189" s="36" t="str"/>
    </x:row>
    <x:row r="190">
      <x:c r="A190" s="79" t="str"/>
      <x:c r="B190" s="80" t="str"/>
      <x:c r="C190" s="35" t="str"/>
      <x:c r="D190" s="35" t="str"/>
      <x:c r="E190" s="35" t="str"/>
      <x:c r="F190" s="35" t="str"/>
      <x:c r="G190" s="81" t="str"/>
      <x:c r="H190" s="81" t="str"/>
      <x:c r="I190" s="81" t="str"/>
      <x:c r="J190" s="81" t="str"/>
      <x:c r="K190" s="33" t="str">
        <x:f>IF(OR(I190="",J190=""),"",IFERROR(I190/J190,0))</x:f>
      </x:c>
      <x:c r="L190" s="35" t="str"/>
      <x:c r="M190" s="36" t="str"/>
    </x:row>
    <x:row r="191">
      <x:c r="A191" s="79" t="str"/>
      <x:c r="B191" s="80" t="str"/>
      <x:c r="C191" s="35" t="str"/>
      <x:c r="D191" s="35" t="str"/>
      <x:c r="E191" s="35" t="str"/>
      <x:c r="F191" s="35" t="str"/>
      <x:c r="G191" s="81" t="str"/>
      <x:c r="H191" s="81" t="str"/>
      <x:c r="I191" s="81" t="str"/>
      <x:c r="J191" s="81" t="str"/>
      <x:c r="K191" s="33" t="str">
        <x:f>IF(OR(I191="",J191=""),"",IFERROR(I191/J191,0))</x:f>
      </x:c>
      <x:c r="L191" s="35" t="str"/>
      <x:c r="M191" s="36" t="str"/>
    </x:row>
    <x:row r="192">
      <x:c r="A192" s="79" t="str"/>
      <x:c r="B192" s="80" t="str"/>
      <x:c r="C192" s="35" t="str"/>
      <x:c r="D192" s="35" t="str"/>
      <x:c r="E192" s="35" t="str"/>
      <x:c r="F192" s="35" t="str"/>
      <x:c r="G192" s="81" t="str"/>
      <x:c r="H192" s="81" t="str"/>
      <x:c r="I192" s="81" t="str"/>
      <x:c r="J192" s="81" t="str"/>
      <x:c r="K192" s="33" t="str">
        <x:f>IF(OR(I192="",J192=""),"",IFERROR(I192/J192,0))</x:f>
      </x:c>
      <x:c r="L192" s="35" t="str"/>
      <x:c r="M192" s="36" t="str"/>
    </x:row>
    <x:row r="193">
      <x:c r="A193" s="79" t="str"/>
      <x:c r="B193" s="80" t="str"/>
      <x:c r="C193" s="35" t="str"/>
      <x:c r="D193" s="35" t="str"/>
      <x:c r="E193" s="35" t="str"/>
      <x:c r="F193" s="35" t="str"/>
      <x:c r="G193" s="81" t="str"/>
      <x:c r="H193" s="81" t="str"/>
      <x:c r="I193" s="81" t="str"/>
      <x:c r="J193" s="81" t="str"/>
      <x:c r="K193" s="33" t="str">
        <x:f>IF(OR(I193="",J193=""),"",IFERROR(I193/J193,0))</x:f>
      </x:c>
      <x:c r="L193" s="35" t="str"/>
      <x:c r="M193" s="36" t="str"/>
    </x:row>
    <x:row r="194">
      <x:c r="A194" s="79" t="str"/>
      <x:c r="B194" s="80" t="str"/>
      <x:c r="C194" s="35" t="str"/>
      <x:c r="D194" s="35" t="str"/>
      <x:c r="E194" s="35" t="str"/>
      <x:c r="F194" s="35" t="str"/>
      <x:c r="G194" s="81" t="str"/>
      <x:c r="H194" s="81" t="str"/>
      <x:c r="I194" s="81" t="str"/>
      <x:c r="J194" s="81" t="str"/>
      <x:c r="K194" s="33" t="str">
        <x:f>IF(OR(I194="",J194=""),"",IFERROR(I194/J194,0))</x:f>
      </x:c>
      <x:c r="L194" s="35" t="str"/>
      <x:c r="M194" s="36" t="str"/>
    </x:row>
    <x:row r="195">
      <x:c r="A195" s="79" t="str"/>
      <x:c r="B195" s="80" t="str"/>
      <x:c r="C195" s="35" t="str"/>
      <x:c r="D195" s="35" t="str"/>
      <x:c r="E195" s="35" t="str"/>
      <x:c r="F195" s="35" t="str"/>
      <x:c r="G195" s="81" t="str"/>
      <x:c r="H195" s="81" t="str"/>
      <x:c r="I195" s="81" t="str"/>
      <x:c r="J195" s="81" t="str"/>
      <x:c r="K195" s="33" t="str">
        <x:f>IF(OR(I195="",J195=""),"",IFERROR(I195/J195,0))</x:f>
      </x:c>
      <x:c r="L195" s="35" t="str"/>
      <x:c r="M195" s="36" t="str"/>
    </x:row>
    <x:row r="196">
      <x:c r="A196" s="79" t="str"/>
      <x:c r="B196" s="80" t="str"/>
      <x:c r="C196" s="35" t="str"/>
      <x:c r="D196" s="35" t="str"/>
      <x:c r="E196" s="35" t="str"/>
      <x:c r="F196" s="35" t="str"/>
      <x:c r="G196" s="81" t="str"/>
      <x:c r="H196" s="81" t="str"/>
      <x:c r="I196" s="81" t="str"/>
      <x:c r="J196" s="81" t="str"/>
      <x:c r="K196" s="33" t="str">
        <x:f>IF(OR(I196="",J196=""),"",IFERROR(I196/J196,0))</x:f>
      </x:c>
      <x:c r="L196" s="35" t="str"/>
      <x:c r="M196" s="36" t="str"/>
    </x:row>
    <x:row r="197">
      <x:c r="A197" s="79" t="str"/>
      <x:c r="B197" s="80" t="str"/>
      <x:c r="C197" s="35" t="str"/>
      <x:c r="D197" s="35" t="str"/>
      <x:c r="E197" s="35" t="str"/>
      <x:c r="F197" s="35" t="str"/>
      <x:c r="G197" s="81" t="str"/>
      <x:c r="H197" s="81" t="str"/>
      <x:c r="I197" s="81" t="str"/>
      <x:c r="J197" s="81" t="str"/>
      <x:c r="K197" s="33" t="str">
        <x:f>IF(OR(I197="",J197=""),"",IFERROR(I197/J197,0))</x:f>
      </x:c>
      <x:c r="L197" s="35" t="str"/>
      <x:c r="M197" s="36" t="str"/>
    </x:row>
    <x:row r="198">
      <x:c r="A198" s="79" t="str"/>
      <x:c r="B198" s="80" t="str"/>
      <x:c r="C198" s="35" t="str"/>
      <x:c r="D198" s="35" t="str"/>
      <x:c r="E198" s="35" t="str"/>
      <x:c r="F198" s="35" t="str"/>
      <x:c r="G198" s="81" t="str"/>
      <x:c r="H198" s="81" t="str"/>
      <x:c r="I198" s="81" t="str"/>
      <x:c r="J198" s="81" t="str"/>
      <x:c r="K198" s="33" t="str">
        <x:f>IF(OR(I198="",J198=""),"",IFERROR(I198/J198,0))</x:f>
      </x:c>
      <x:c r="L198" s="35" t="str"/>
      <x:c r="M198" s="36" t="str"/>
    </x:row>
    <x:row r="199">
      <x:c r="A199" s="79" t="str"/>
      <x:c r="B199" s="80" t="str"/>
      <x:c r="C199" s="35" t="str"/>
      <x:c r="D199" s="35" t="str"/>
      <x:c r="E199" s="35" t="str"/>
      <x:c r="F199" s="35" t="str"/>
      <x:c r="G199" s="81" t="str"/>
      <x:c r="H199" s="81" t="str"/>
      <x:c r="I199" s="81" t="str"/>
      <x:c r="J199" s="81" t="str"/>
      <x:c r="K199" s="33" t="str">
        <x:f>IF(OR(I199="",J199=""),"",IFERROR(I199/J199,0))</x:f>
      </x:c>
      <x:c r="L199" s="35" t="str"/>
      <x:c r="M199" s="36" t="str"/>
    </x:row>
    <x:row r="200">
      <x:c r="A200" s="79" t="str"/>
      <x:c r="B200" s="80" t="str"/>
      <x:c r="C200" s="35" t="str"/>
      <x:c r="D200" s="35" t="str"/>
      <x:c r="E200" s="35" t="str"/>
      <x:c r="F200" s="35" t="str"/>
      <x:c r="G200" s="81" t="str"/>
      <x:c r="H200" s="81" t="str"/>
      <x:c r="I200" s="81" t="str"/>
      <x:c r="J200" s="81" t="str"/>
      <x:c r="K200" s="33" t="str">
        <x:f>IF(OR(I200="",J200=""),"",IFERROR(I200/J200,0))</x:f>
      </x:c>
      <x:c r="L200" s="35" t="str"/>
      <x:c r="M200" s="36" t="str"/>
    </x:row>
    <x:row r="201">
      <x:c r="A201" s="79" t="str"/>
      <x:c r="B201" s="80" t="str"/>
      <x:c r="C201" s="35" t="str"/>
      <x:c r="D201" s="35" t="str"/>
      <x:c r="E201" s="35" t="str"/>
      <x:c r="F201" s="35" t="str"/>
      <x:c r="G201" s="81" t="str"/>
      <x:c r="H201" s="81" t="str"/>
      <x:c r="I201" s="81" t="str"/>
      <x:c r="J201" s="81" t="str"/>
      <x:c r="K201" s="33" t="str">
        <x:f>IF(OR(I201="",J201=""),"",IFERROR(I201/J201,0))</x:f>
      </x:c>
      <x:c r="L201" s="35" t="str"/>
      <x:c r="M201" s="36" t="str"/>
    </x:row>
    <x:row r="202">
      <x:c r="A202" s="79" t="str"/>
      <x:c r="B202" s="80" t="str"/>
      <x:c r="C202" s="35" t="str"/>
      <x:c r="D202" s="35" t="str"/>
      <x:c r="E202" s="35" t="str"/>
      <x:c r="F202" s="35" t="str"/>
      <x:c r="G202" s="81" t="str"/>
      <x:c r="H202" s="81" t="str"/>
      <x:c r="I202" s="81" t="str"/>
      <x:c r="J202" s="81" t="str"/>
      <x:c r="K202" s="33" t="str">
        <x:f>IF(OR(I202="",J202=""),"",IFERROR(I202/J202,0))</x:f>
      </x:c>
      <x:c r="L202" s="35" t="str"/>
      <x:c r="M202" s="36" t="str"/>
    </x:row>
    <x:row r="203">
      <x:c r="A203" s="79" t="str"/>
      <x:c r="B203" s="80" t="str"/>
      <x:c r="C203" s="35" t="str"/>
      <x:c r="D203" s="35" t="str"/>
      <x:c r="E203" s="35" t="str"/>
      <x:c r="F203" s="35" t="str"/>
      <x:c r="G203" s="81" t="str"/>
      <x:c r="H203" s="81" t="str"/>
      <x:c r="I203" s="81" t="str"/>
      <x:c r="J203" s="81" t="str"/>
      <x:c r="K203" s="33" t="str">
        <x:f>IF(OR(I203="",J203=""),"",IFERROR(I203/J203,0))</x:f>
      </x:c>
      <x:c r="L203" s="35" t="str"/>
      <x:c r="M203" s="36" t="str"/>
    </x:row>
    <x:row r="204">
      <x:c r="A204" s="79" t="str"/>
      <x:c r="B204" s="80" t="str"/>
      <x:c r="C204" s="35" t="str"/>
      <x:c r="D204" s="35" t="str"/>
      <x:c r="E204" s="35" t="str"/>
      <x:c r="F204" s="35" t="str"/>
      <x:c r="G204" s="81" t="str"/>
      <x:c r="H204" s="81" t="str"/>
      <x:c r="I204" s="81" t="str"/>
      <x:c r="J204" s="81" t="str"/>
      <x:c r="K204" s="33" t="str">
        <x:f>IF(OR(I204="",J204=""),"",IFERROR(I204/J204,0))</x:f>
      </x:c>
      <x:c r="L204" s="35" t="str"/>
      <x:c r="M204" s="36" t="str"/>
    </x:row>
  </x:sheetData>
  <x:mergeCells>
    <x:mergeCell ref="A1:M1"/>
    <x:mergeCell ref="A2:M2"/>
  </x:mergeCells>
  <x:conditionalFormatting sqref="K5:K204">
    <x:cfRule type="expression" dxfId="2" priority="1">
      <x:formula>AND($J5&gt;0,$K5&lt;0.6)</x:formula>
    </x:cfRule>
    <x:cfRule type="expression" dxfId="3" priority="2">
      <x:formula>AND($J5&gt;0,$K5&gt;=0.6,$K5&lt;0.8)</x:formula>
    </x:cfRule>
    <x:cfRule type="expression" dxfId="4" priority="3">
      <x:formula>AND($J5&gt;0,$K5&gt;=0.8)</x:formula>
    </x:cfRule>
  </x:conditionalFormatting>
  <x:dataValidations count="6">
    <x:dataValidation type="list" sqref="C5:C204">
      <x:formula1>"Math P1,Math Mechanics,Business"</x:formula1>
    </x:dataValidation>
    <x:dataValidation type="list" sqref="D5:D204">
      <x:formula1>"9709/12,9709/42,9609/12,9609/22,Mixed"</x:formula1>
    </x:dataValidation>
    <x:dataValidation type="list" sqref="E5:E204">
      <x:formula1>"Retrieval,Learn/Repair,Topic Questions,Timed Section,Full Paper,Marking/Correction,Video + Practice"</x:formula1>
    </x:dataValidation>
    <x:dataValidation type="whole" operator="between" sqref="G5:G204">
      <x:formula1>1</x:formula1>
      <x:formula2>300</x:formula2>
    </x:dataValidation>
    <x:dataValidation type="whole" operator="between" sqref="H5:J204">
      <x:formula1>0</x:formula1>
      <x:formula2>100</x:formula2>
    </x:dataValidation>
    <x:dataValidation type="whole" operator="between" sqref="L5:L20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7874aed1e644e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3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Mistake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Every lost mark gets a cause, corrected method, and review date. Resolve only after an unaided successful review.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6" t="str">
        <x:v>ID</x:v>
      </x:c>
      <x:c r="B4" s="30" t="str">
        <x:v>Date</x:v>
      </x:c>
      <x:c r="C4" s="30" t="str">
        <x:v>Subject</x:v>
      </x:c>
      <x:c r="D4" s="30" t="str">
        <x:v>Paper</x:v>
      </x:c>
      <x:c r="E4" s="30" t="str">
        <x:v>Topic / objective</x:v>
      </x:c>
      <x:c r="F4" s="30" t="str">
        <x:v>Question ref</x:v>
      </x:c>
      <x:c r="G4" s="30" t="str">
        <x:v>Error type</x:v>
      </x:c>
      <x:c r="H4" s="30" t="str">
        <x:v>What went wrong</x:v>
      </x:c>
      <x:c r="I4" s="30" t="str">
        <x:v>Correct method / rule</x:v>
      </x:c>
      <x:c r="J4" s="30" t="str">
        <x:v>Marks lost</x:v>
      </x:c>
      <x:c r="K4" s="30" t="str">
        <x:v>Review date</x:v>
      </x:c>
      <x:c r="L4" s="30" t="str">
        <x:v>Review result</x:v>
      </x:c>
      <x:c r="M4" s="30" t="str">
        <x:v>Status</x:v>
      </x:c>
      <x:c r="N4" s="17" t="str">
        <x:v>Teacher check</x:v>
      </x:c>
    </x:row>
    <x:row r="5">
      <x:c r="A5" s="84" t="str">
        <x:f>IF(B5="","",ROW()-4)</x:f>
      </x:c>
      <x:c r="B5" s="79" t="str"/>
      <x:c r="C5" s="35" t="str"/>
      <x:c r="D5" s="35" t="str"/>
      <x:c r="E5" s="35" t="str"/>
      <x:c r="F5" s="35" t="str"/>
      <x:c r="G5" s="35" t="str"/>
      <x:c r="H5" s="36" t="str"/>
      <x:c r="I5" s="36" t="str"/>
      <x:c r="J5" s="35" t="str"/>
      <x:c r="K5" s="79" t="str"/>
      <x:c r="L5" s="85" t="str"/>
      <x:c r="M5" s="35" t="str"/>
      <x:c r="N5" s="35" t="str"/>
    </x:row>
    <x:row r="6">
      <x:c r="A6" s="84" t="str">
        <x:f>IF(B6="","",ROW()-4)</x:f>
      </x:c>
      <x:c r="B6" s="79" t="str"/>
      <x:c r="C6" s="35" t="str"/>
      <x:c r="D6" s="35" t="str"/>
      <x:c r="E6" s="35" t="str"/>
      <x:c r="F6" s="35" t="str"/>
      <x:c r="G6" s="35" t="str"/>
      <x:c r="H6" s="36" t="str"/>
      <x:c r="I6" s="36" t="str"/>
      <x:c r="J6" s="35" t="str"/>
      <x:c r="K6" s="79" t="str"/>
      <x:c r="L6" s="85" t="str"/>
      <x:c r="M6" s="35" t="str"/>
      <x:c r="N6" s="35" t="str"/>
    </x:row>
    <x:row r="7">
      <x:c r="A7" s="84" t="str">
        <x:f>IF(B7="","",ROW()-4)</x:f>
      </x:c>
      <x:c r="B7" s="79" t="str"/>
      <x:c r="C7" s="35" t="str"/>
      <x:c r="D7" s="35" t="str"/>
      <x:c r="E7" s="35" t="str"/>
      <x:c r="F7" s="35" t="str"/>
      <x:c r="G7" s="35" t="str"/>
      <x:c r="H7" s="36" t="str"/>
      <x:c r="I7" s="36" t="str"/>
      <x:c r="J7" s="35" t="str"/>
      <x:c r="K7" s="79" t="str"/>
      <x:c r="L7" s="85" t="str"/>
      <x:c r="M7" s="35" t="str"/>
      <x:c r="N7" s="35" t="str"/>
    </x:row>
    <x:row r="8">
      <x:c r="A8" s="84" t="str">
        <x:f>IF(B8="","",ROW()-4)</x:f>
      </x:c>
      <x:c r="B8" s="79" t="str"/>
      <x:c r="C8" s="35" t="str"/>
      <x:c r="D8" s="35" t="str"/>
      <x:c r="E8" s="35" t="str"/>
      <x:c r="F8" s="35" t="str"/>
      <x:c r="G8" s="35" t="str"/>
      <x:c r="H8" s="36" t="str"/>
      <x:c r="I8" s="36" t="str"/>
      <x:c r="J8" s="35" t="str"/>
      <x:c r="K8" s="79" t="str"/>
      <x:c r="L8" s="85" t="str"/>
      <x:c r="M8" s="35" t="str"/>
      <x:c r="N8" s="35" t="str"/>
    </x:row>
    <x:row r="9">
      <x:c r="A9" s="84" t="str">
        <x:f>IF(B9="","",ROW()-4)</x:f>
      </x:c>
      <x:c r="B9" s="79" t="str"/>
      <x:c r="C9" s="35" t="str"/>
      <x:c r="D9" s="35" t="str"/>
      <x:c r="E9" s="35" t="str"/>
      <x:c r="F9" s="35" t="str"/>
      <x:c r="G9" s="35" t="str"/>
      <x:c r="H9" s="36" t="str"/>
      <x:c r="I9" s="36" t="str"/>
      <x:c r="J9" s="35" t="str"/>
      <x:c r="K9" s="79" t="str"/>
      <x:c r="L9" s="85" t="str"/>
      <x:c r="M9" s="35" t="str"/>
      <x:c r="N9" s="35" t="str"/>
    </x:row>
    <x:row r="10">
      <x:c r="A10" s="84" t="str">
        <x:f>IF(B10="","",ROW()-4)</x:f>
      </x:c>
      <x:c r="B10" s="79" t="str"/>
      <x:c r="C10" s="35" t="str"/>
      <x:c r="D10" s="35" t="str"/>
      <x:c r="E10" s="35" t="str"/>
      <x:c r="F10" s="35" t="str"/>
      <x:c r="G10" s="35" t="str"/>
      <x:c r="H10" s="36" t="str"/>
      <x:c r="I10" s="36" t="str"/>
      <x:c r="J10" s="35" t="str"/>
      <x:c r="K10" s="79" t="str"/>
      <x:c r="L10" s="85" t="str"/>
      <x:c r="M10" s="35" t="str"/>
      <x:c r="N10" s="35" t="str"/>
    </x:row>
    <x:row r="11">
      <x:c r="A11" s="84" t="str">
        <x:f>IF(B11="","",ROW()-4)</x:f>
      </x:c>
      <x:c r="B11" s="79" t="str"/>
      <x:c r="C11" s="35" t="str"/>
      <x:c r="D11" s="35" t="str"/>
      <x:c r="E11" s="35" t="str"/>
      <x:c r="F11" s="35" t="str"/>
      <x:c r="G11" s="35" t="str"/>
      <x:c r="H11" s="36" t="str"/>
      <x:c r="I11" s="36" t="str"/>
      <x:c r="J11" s="35" t="str"/>
      <x:c r="K11" s="79" t="str"/>
      <x:c r="L11" s="85" t="str"/>
      <x:c r="M11" s="35" t="str"/>
      <x:c r="N11" s="35" t="str"/>
    </x:row>
    <x:row r="12">
      <x:c r="A12" s="84" t="str">
        <x:f>IF(B12="","",ROW()-4)</x:f>
      </x:c>
      <x:c r="B12" s="79" t="str"/>
      <x:c r="C12" s="35" t="str"/>
      <x:c r="D12" s="35" t="str"/>
      <x:c r="E12" s="35" t="str"/>
      <x:c r="F12" s="35" t="str"/>
      <x:c r="G12" s="35" t="str"/>
      <x:c r="H12" s="36" t="str"/>
      <x:c r="I12" s="36" t="str"/>
      <x:c r="J12" s="35" t="str"/>
      <x:c r="K12" s="79" t="str"/>
      <x:c r="L12" s="85" t="str"/>
      <x:c r="M12" s="35" t="str"/>
      <x:c r="N12" s="35" t="str"/>
    </x:row>
    <x:row r="13">
      <x:c r="A13" s="84" t="str">
        <x:f>IF(B13="","",ROW()-4)</x:f>
      </x:c>
      <x:c r="B13" s="79" t="str"/>
      <x:c r="C13" s="35" t="str"/>
      <x:c r="D13" s="35" t="str"/>
      <x:c r="E13" s="35" t="str"/>
      <x:c r="F13" s="35" t="str"/>
      <x:c r="G13" s="35" t="str"/>
      <x:c r="H13" s="36" t="str"/>
      <x:c r="I13" s="36" t="str"/>
      <x:c r="J13" s="35" t="str"/>
      <x:c r="K13" s="79" t="str"/>
      <x:c r="L13" s="85" t="str"/>
      <x:c r="M13" s="35" t="str"/>
      <x:c r="N13" s="35" t="str"/>
    </x:row>
    <x:row r="14">
      <x:c r="A14" s="84" t="str">
        <x:f>IF(B14="","",ROW()-4)</x:f>
      </x:c>
      <x:c r="B14" s="79" t="str"/>
      <x:c r="C14" s="35" t="str"/>
      <x:c r="D14" s="35" t="str"/>
      <x:c r="E14" s="35" t="str"/>
      <x:c r="F14" s="35" t="str"/>
      <x:c r="G14" s="35" t="str"/>
      <x:c r="H14" s="36" t="str"/>
      <x:c r="I14" s="36" t="str"/>
      <x:c r="J14" s="35" t="str"/>
      <x:c r="K14" s="79" t="str"/>
      <x:c r="L14" s="85" t="str"/>
      <x:c r="M14" s="35" t="str"/>
      <x:c r="N14" s="35" t="str"/>
    </x:row>
    <x:row r="15">
      <x:c r="A15" s="84" t="str">
        <x:f>IF(B15="","",ROW()-4)</x:f>
      </x:c>
      <x:c r="B15" s="79" t="str"/>
      <x:c r="C15" s="35" t="str"/>
      <x:c r="D15" s="35" t="str"/>
      <x:c r="E15" s="35" t="str"/>
      <x:c r="F15" s="35" t="str"/>
      <x:c r="G15" s="35" t="str"/>
      <x:c r="H15" s="36" t="str"/>
      <x:c r="I15" s="36" t="str"/>
      <x:c r="J15" s="35" t="str"/>
      <x:c r="K15" s="79" t="str"/>
      <x:c r="L15" s="85" t="str"/>
      <x:c r="M15" s="35" t="str"/>
      <x:c r="N15" s="35" t="str"/>
    </x:row>
    <x:row r="16">
      <x:c r="A16" s="84" t="str">
        <x:f>IF(B16="","",ROW()-4)</x:f>
      </x:c>
      <x:c r="B16" s="79" t="str"/>
      <x:c r="C16" s="35" t="str"/>
      <x:c r="D16" s="35" t="str"/>
      <x:c r="E16" s="35" t="str"/>
      <x:c r="F16" s="35" t="str"/>
      <x:c r="G16" s="35" t="str"/>
      <x:c r="H16" s="36" t="str"/>
      <x:c r="I16" s="36" t="str"/>
      <x:c r="J16" s="35" t="str"/>
      <x:c r="K16" s="79" t="str"/>
      <x:c r="L16" s="85" t="str"/>
      <x:c r="M16" s="35" t="str"/>
      <x:c r="N16" s="35" t="str"/>
    </x:row>
    <x:row r="17">
      <x:c r="A17" s="84" t="str">
        <x:f>IF(B17="","",ROW()-4)</x:f>
      </x:c>
      <x:c r="B17" s="79" t="str"/>
      <x:c r="C17" s="35" t="str"/>
      <x:c r="D17" s="35" t="str"/>
      <x:c r="E17" s="35" t="str"/>
      <x:c r="F17" s="35" t="str"/>
      <x:c r="G17" s="35" t="str"/>
      <x:c r="H17" s="36" t="str"/>
      <x:c r="I17" s="36" t="str"/>
      <x:c r="J17" s="35" t="str"/>
      <x:c r="K17" s="79" t="str"/>
      <x:c r="L17" s="85" t="str"/>
      <x:c r="M17" s="35" t="str"/>
      <x:c r="N17" s="35" t="str"/>
    </x:row>
    <x:row r="18">
      <x:c r="A18" s="84" t="str">
        <x:f>IF(B18="","",ROW()-4)</x:f>
      </x:c>
      <x:c r="B18" s="79" t="str"/>
      <x:c r="C18" s="35" t="str"/>
      <x:c r="D18" s="35" t="str"/>
      <x:c r="E18" s="35" t="str"/>
      <x:c r="F18" s="35" t="str"/>
      <x:c r="G18" s="35" t="str"/>
      <x:c r="H18" s="36" t="str"/>
      <x:c r="I18" s="36" t="str"/>
      <x:c r="J18" s="35" t="str"/>
      <x:c r="K18" s="79" t="str"/>
      <x:c r="L18" s="85" t="str"/>
      <x:c r="M18" s="35" t="str"/>
      <x:c r="N18" s="35" t="str"/>
    </x:row>
    <x:row r="19">
      <x:c r="A19" s="84" t="str">
        <x:f>IF(B19="","",ROW()-4)</x:f>
      </x:c>
      <x:c r="B19" s="79" t="str"/>
      <x:c r="C19" s="35" t="str"/>
      <x:c r="D19" s="35" t="str"/>
      <x:c r="E19" s="35" t="str"/>
      <x:c r="F19" s="35" t="str"/>
      <x:c r="G19" s="35" t="str"/>
      <x:c r="H19" s="36" t="str"/>
      <x:c r="I19" s="36" t="str"/>
      <x:c r="J19" s="35" t="str"/>
      <x:c r="K19" s="79" t="str"/>
      <x:c r="L19" s="85" t="str"/>
      <x:c r="M19" s="35" t="str"/>
      <x:c r="N19" s="35" t="str"/>
    </x:row>
    <x:row r="20">
      <x:c r="A20" s="84" t="str">
        <x:f>IF(B20="","",ROW()-4)</x:f>
      </x:c>
      <x:c r="B20" s="79" t="str"/>
      <x:c r="C20" s="35" t="str"/>
      <x:c r="D20" s="35" t="str"/>
      <x:c r="E20" s="35" t="str"/>
      <x:c r="F20" s="35" t="str"/>
      <x:c r="G20" s="35" t="str"/>
      <x:c r="H20" s="36" t="str"/>
      <x:c r="I20" s="36" t="str"/>
      <x:c r="J20" s="35" t="str"/>
      <x:c r="K20" s="79" t="str"/>
      <x:c r="L20" s="85" t="str"/>
      <x:c r="M20" s="35" t="str"/>
      <x:c r="N20" s="35" t="str"/>
    </x:row>
    <x:row r="21">
      <x:c r="A21" s="84" t="str">
        <x:f>IF(B21="","",ROW()-4)</x:f>
      </x:c>
      <x:c r="B21" s="79" t="str"/>
      <x:c r="C21" s="35" t="str"/>
      <x:c r="D21" s="35" t="str"/>
      <x:c r="E21" s="35" t="str"/>
      <x:c r="F21" s="35" t="str"/>
      <x:c r="G21" s="35" t="str"/>
      <x:c r="H21" s="36" t="str"/>
      <x:c r="I21" s="36" t="str"/>
      <x:c r="J21" s="35" t="str"/>
      <x:c r="K21" s="79" t="str"/>
      <x:c r="L21" s="85" t="str"/>
      <x:c r="M21" s="35" t="str"/>
      <x:c r="N21" s="35" t="str"/>
    </x:row>
    <x:row r="22">
      <x:c r="A22" s="84" t="str">
        <x:f>IF(B22="","",ROW()-4)</x:f>
      </x:c>
      <x:c r="B22" s="79" t="str"/>
      <x:c r="C22" s="35" t="str"/>
      <x:c r="D22" s="35" t="str"/>
      <x:c r="E22" s="35" t="str"/>
      <x:c r="F22" s="35" t="str"/>
      <x:c r="G22" s="35" t="str"/>
      <x:c r="H22" s="36" t="str"/>
      <x:c r="I22" s="36" t="str"/>
      <x:c r="J22" s="35" t="str"/>
      <x:c r="K22" s="79" t="str"/>
      <x:c r="L22" s="85" t="str"/>
      <x:c r="M22" s="35" t="str"/>
      <x:c r="N22" s="35" t="str"/>
    </x:row>
    <x:row r="23">
      <x:c r="A23" s="84" t="str">
        <x:f>IF(B23="","",ROW()-4)</x:f>
      </x:c>
      <x:c r="B23" s="79" t="str"/>
      <x:c r="C23" s="35" t="str"/>
      <x:c r="D23" s="35" t="str"/>
      <x:c r="E23" s="35" t="str"/>
      <x:c r="F23" s="35" t="str"/>
      <x:c r="G23" s="35" t="str"/>
      <x:c r="H23" s="36" t="str"/>
      <x:c r="I23" s="36" t="str"/>
      <x:c r="J23" s="35" t="str"/>
      <x:c r="K23" s="79" t="str"/>
      <x:c r="L23" s="85" t="str"/>
      <x:c r="M23" s="35" t="str"/>
      <x:c r="N23" s="35" t="str"/>
    </x:row>
    <x:row r="24">
      <x:c r="A24" s="84" t="str">
        <x:f>IF(B24="","",ROW()-4)</x:f>
      </x:c>
      <x:c r="B24" s="79" t="str"/>
      <x:c r="C24" s="35" t="str"/>
      <x:c r="D24" s="35" t="str"/>
      <x:c r="E24" s="35" t="str"/>
      <x:c r="F24" s="35" t="str"/>
      <x:c r="G24" s="35" t="str"/>
      <x:c r="H24" s="36" t="str"/>
      <x:c r="I24" s="36" t="str"/>
      <x:c r="J24" s="35" t="str"/>
      <x:c r="K24" s="79" t="str"/>
      <x:c r="L24" s="85" t="str"/>
      <x:c r="M24" s="35" t="str"/>
      <x:c r="N24" s="35" t="str"/>
    </x:row>
    <x:row r="25">
      <x:c r="A25" s="84" t="str">
        <x:f>IF(B25="","",ROW()-4)</x:f>
      </x:c>
      <x:c r="B25" s="79" t="str"/>
      <x:c r="C25" s="35" t="str"/>
      <x:c r="D25" s="35" t="str"/>
      <x:c r="E25" s="35" t="str"/>
      <x:c r="F25" s="35" t="str"/>
      <x:c r="G25" s="35" t="str"/>
      <x:c r="H25" s="36" t="str"/>
      <x:c r="I25" s="36" t="str"/>
      <x:c r="J25" s="35" t="str"/>
      <x:c r="K25" s="79" t="str"/>
      <x:c r="L25" s="85" t="str"/>
      <x:c r="M25" s="35" t="str"/>
      <x:c r="N25" s="35" t="str"/>
    </x:row>
    <x:row r="26">
      <x:c r="A26" s="84" t="str">
        <x:f>IF(B26="","",ROW()-4)</x:f>
      </x:c>
      <x:c r="B26" s="79" t="str"/>
      <x:c r="C26" s="35" t="str"/>
      <x:c r="D26" s="35" t="str"/>
      <x:c r="E26" s="35" t="str"/>
      <x:c r="F26" s="35" t="str"/>
      <x:c r="G26" s="35" t="str"/>
      <x:c r="H26" s="36" t="str"/>
      <x:c r="I26" s="36" t="str"/>
      <x:c r="J26" s="35" t="str"/>
      <x:c r="K26" s="79" t="str"/>
      <x:c r="L26" s="85" t="str"/>
      <x:c r="M26" s="35" t="str"/>
      <x:c r="N26" s="35" t="str"/>
    </x:row>
    <x:row r="27">
      <x:c r="A27" s="84" t="str">
        <x:f>IF(B27="","",ROW()-4)</x:f>
      </x:c>
      <x:c r="B27" s="79" t="str"/>
      <x:c r="C27" s="35" t="str"/>
      <x:c r="D27" s="35" t="str"/>
      <x:c r="E27" s="35" t="str"/>
      <x:c r="F27" s="35" t="str"/>
      <x:c r="G27" s="35" t="str"/>
      <x:c r="H27" s="36" t="str"/>
      <x:c r="I27" s="36" t="str"/>
      <x:c r="J27" s="35" t="str"/>
      <x:c r="K27" s="79" t="str"/>
      <x:c r="L27" s="85" t="str"/>
      <x:c r="M27" s="35" t="str"/>
      <x:c r="N27" s="35" t="str"/>
    </x:row>
    <x:row r="28">
      <x:c r="A28" s="84" t="str">
        <x:f>IF(B28="","",ROW()-4)</x:f>
      </x:c>
      <x:c r="B28" s="79" t="str"/>
      <x:c r="C28" s="35" t="str"/>
      <x:c r="D28" s="35" t="str"/>
      <x:c r="E28" s="35" t="str"/>
      <x:c r="F28" s="35" t="str"/>
      <x:c r="G28" s="35" t="str"/>
      <x:c r="H28" s="36" t="str"/>
      <x:c r="I28" s="36" t="str"/>
      <x:c r="J28" s="35" t="str"/>
      <x:c r="K28" s="79" t="str"/>
      <x:c r="L28" s="85" t="str"/>
      <x:c r="M28" s="35" t="str"/>
      <x:c r="N28" s="35" t="str"/>
    </x:row>
    <x:row r="29">
      <x:c r="A29" s="84" t="str">
        <x:f>IF(B29="","",ROW()-4)</x:f>
      </x:c>
      <x:c r="B29" s="79" t="str"/>
      <x:c r="C29" s="35" t="str"/>
      <x:c r="D29" s="35" t="str"/>
      <x:c r="E29" s="35" t="str"/>
      <x:c r="F29" s="35" t="str"/>
      <x:c r="G29" s="35" t="str"/>
      <x:c r="H29" s="36" t="str"/>
      <x:c r="I29" s="36" t="str"/>
      <x:c r="J29" s="35" t="str"/>
      <x:c r="K29" s="79" t="str"/>
      <x:c r="L29" s="85" t="str"/>
      <x:c r="M29" s="35" t="str"/>
      <x:c r="N29" s="35" t="str"/>
    </x:row>
    <x:row r="30">
      <x:c r="A30" s="84" t="str">
        <x:f>IF(B30="","",ROW()-4)</x:f>
      </x:c>
      <x:c r="B30" s="79" t="str"/>
      <x:c r="C30" s="35" t="str"/>
      <x:c r="D30" s="35" t="str"/>
      <x:c r="E30" s="35" t="str"/>
      <x:c r="F30" s="35" t="str"/>
      <x:c r="G30" s="35" t="str"/>
      <x:c r="H30" s="36" t="str"/>
      <x:c r="I30" s="36" t="str"/>
      <x:c r="J30" s="35" t="str"/>
      <x:c r="K30" s="79" t="str"/>
      <x:c r="L30" s="85" t="str"/>
      <x:c r="M30" s="35" t="str"/>
      <x:c r="N30" s="35" t="str"/>
    </x:row>
    <x:row r="31">
      <x:c r="A31" s="84" t="str">
        <x:f>IF(B31="","",ROW()-4)</x:f>
      </x:c>
      <x:c r="B31" s="79" t="str"/>
      <x:c r="C31" s="35" t="str"/>
      <x:c r="D31" s="35" t="str"/>
      <x:c r="E31" s="35" t="str"/>
      <x:c r="F31" s="35" t="str"/>
      <x:c r="G31" s="35" t="str"/>
      <x:c r="H31" s="36" t="str"/>
      <x:c r="I31" s="36" t="str"/>
      <x:c r="J31" s="35" t="str"/>
      <x:c r="K31" s="79" t="str"/>
      <x:c r="L31" s="85" t="str"/>
      <x:c r="M31" s="35" t="str"/>
      <x:c r="N31" s="35" t="str"/>
    </x:row>
    <x:row r="32">
      <x:c r="A32" s="84" t="str">
        <x:f>IF(B32="","",ROW()-4)</x:f>
      </x:c>
      <x:c r="B32" s="79" t="str"/>
      <x:c r="C32" s="35" t="str"/>
      <x:c r="D32" s="35" t="str"/>
      <x:c r="E32" s="35" t="str"/>
      <x:c r="F32" s="35" t="str"/>
      <x:c r="G32" s="35" t="str"/>
      <x:c r="H32" s="36" t="str"/>
      <x:c r="I32" s="36" t="str"/>
      <x:c r="J32" s="35" t="str"/>
      <x:c r="K32" s="79" t="str"/>
      <x:c r="L32" s="85" t="str"/>
      <x:c r="M32" s="35" t="str"/>
      <x:c r="N32" s="35" t="str"/>
    </x:row>
    <x:row r="33">
      <x:c r="A33" s="84" t="str">
        <x:f>IF(B33="","",ROW()-4)</x:f>
      </x:c>
      <x:c r="B33" s="79" t="str"/>
      <x:c r="C33" s="35" t="str"/>
      <x:c r="D33" s="35" t="str"/>
      <x:c r="E33" s="35" t="str"/>
      <x:c r="F33" s="35" t="str"/>
      <x:c r="G33" s="35" t="str"/>
      <x:c r="H33" s="36" t="str"/>
      <x:c r="I33" s="36" t="str"/>
      <x:c r="J33" s="35" t="str"/>
      <x:c r="K33" s="79" t="str"/>
      <x:c r="L33" s="85" t="str"/>
      <x:c r="M33" s="35" t="str"/>
      <x:c r="N33" s="35" t="str"/>
    </x:row>
    <x:row r="34">
      <x:c r="A34" s="84" t="str">
        <x:f>IF(B34="","",ROW()-4)</x:f>
      </x:c>
      <x:c r="B34" s="79" t="str"/>
      <x:c r="C34" s="35" t="str"/>
      <x:c r="D34" s="35" t="str"/>
      <x:c r="E34" s="35" t="str"/>
      <x:c r="F34" s="35" t="str"/>
      <x:c r="G34" s="35" t="str"/>
      <x:c r="H34" s="36" t="str"/>
      <x:c r="I34" s="36" t="str"/>
      <x:c r="J34" s="35" t="str"/>
      <x:c r="K34" s="79" t="str"/>
      <x:c r="L34" s="85" t="str"/>
      <x:c r="M34" s="35" t="str"/>
      <x:c r="N34" s="35" t="str"/>
    </x:row>
    <x:row r="35">
      <x:c r="A35" s="84" t="str">
        <x:f>IF(B35="","",ROW()-4)</x:f>
      </x:c>
      <x:c r="B35" s="79" t="str"/>
      <x:c r="C35" s="35" t="str"/>
      <x:c r="D35" s="35" t="str"/>
      <x:c r="E35" s="35" t="str"/>
      <x:c r="F35" s="35" t="str"/>
      <x:c r="G35" s="35" t="str"/>
      <x:c r="H35" s="36" t="str"/>
      <x:c r="I35" s="36" t="str"/>
      <x:c r="J35" s="35" t="str"/>
      <x:c r="K35" s="79" t="str"/>
      <x:c r="L35" s="85" t="str"/>
      <x:c r="M35" s="35" t="str"/>
      <x:c r="N35" s="35" t="str"/>
    </x:row>
    <x:row r="36">
      <x:c r="A36" s="84" t="str">
        <x:f>IF(B36="","",ROW()-4)</x:f>
      </x:c>
      <x:c r="B36" s="79" t="str"/>
      <x:c r="C36" s="35" t="str"/>
      <x:c r="D36" s="35" t="str"/>
      <x:c r="E36" s="35" t="str"/>
      <x:c r="F36" s="35" t="str"/>
      <x:c r="G36" s="35" t="str"/>
      <x:c r="H36" s="36" t="str"/>
      <x:c r="I36" s="36" t="str"/>
      <x:c r="J36" s="35" t="str"/>
      <x:c r="K36" s="79" t="str"/>
      <x:c r="L36" s="85" t="str"/>
      <x:c r="M36" s="35" t="str"/>
      <x:c r="N36" s="35" t="str"/>
    </x:row>
    <x:row r="37">
      <x:c r="A37" s="84" t="str">
        <x:f>IF(B37="","",ROW()-4)</x:f>
      </x:c>
      <x:c r="B37" s="79" t="str"/>
      <x:c r="C37" s="35" t="str"/>
      <x:c r="D37" s="35" t="str"/>
      <x:c r="E37" s="35" t="str"/>
      <x:c r="F37" s="35" t="str"/>
      <x:c r="G37" s="35" t="str"/>
      <x:c r="H37" s="36" t="str"/>
      <x:c r="I37" s="36" t="str"/>
      <x:c r="J37" s="35" t="str"/>
      <x:c r="K37" s="79" t="str"/>
      <x:c r="L37" s="85" t="str"/>
      <x:c r="M37" s="35" t="str"/>
      <x:c r="N37" s="35" t="str"/>
    </x:row>
    <x:row r="38">
      <x:c r="A38" s="84" t="str">
        <x:f>IF(B38="","",ROW()-4)</x:f>
      </x:c>
      <x:c r="B38" s="79" t="str"/>
      <x:c r="C38" s="35" t="str"/>
      <x:c r="D38" s="35" t="str"/>
      <x:c r="E38" s="35" t="str"/>
      <x:c r="F38" s="35" t="str"/>
      <x:c r="G38" s="35" t="str"/>
      <x:c r="H38" s="36" t="str"/>
      <x:c r="I38" s="36" t="str"/>
      <x:c r="J38" s="35" t="str"/>
      <x:c r="K38" s="79" t="str"/>
      <x:c r="L38" s="85" t="str"/>
      <x:c r="M38" s="35" t="str"/>
      <x:c r="N38" s="35" t="str"/>
    </x:row>
    <x:row r="39">
      <x:c r="A39" s="84" t="str">
        <x:f>IF(B39="","",ROW()-4)</x:f>
      </x:c>
      <x:c r="B39" s="79" t="str"/>
      <x:c r="C39" s="35" t="str"/>
      <x:c r="D39" s="35" t="str"/>
      <x:c r="E39" s="35" t="str"/>
      <x:c r="F39" s="35" t="str"/>
      <x:c r="G39" s="35" t="str"/>
      <x:c r="H39" s="36" t="str"/>
      <x:c r="I39" s="36" t="str"/>
      <x:c r="J39" s="35" t="str"/>
      <x:c r="K39" s="79" t="str"/>
      <x:c r="L39" s="85" t="str"/>
      <x:c r="M39" s="35" t="str"/>
      <x:c r="N39" s="35" t="str"/>
    </x:row>
    <x:row r="40">
      <x:c r="A40" s="84" t="str">
        <x:f>IF(B40="","",ROW()-4)</x:f>
      </x:c>
      <x:c r="B40" s="79" t="str"/>
      <x:c r="C40" s="35" t="str"/>
      <x:c r="D40" s="35" t="str"/>
      <x:c r="E40" s="35" t="str"/>
      <x:c r="F40" s="35" t="str"/>
      <x:c r="G40" s="35" t="str"/>
      <x:c r="H40" s="36" t="str"/>
      <x:c r="I40" s="36" t="str"/>
      <x:c r="J40" s="35" t="str"/>
      <x:c r="K40" s="79" t="str"/>
      <x:c r="L40" s="85" t="str"/>
      <x:c r="M40" s="35" t="str"/>
      <x:c r="N40" s="35" t="str"/>
    </x:row>
    <x:row r="41">
      <x:c r="A41" s="84" t="str">
        <x:f>IF(B41="","",ROW()-4)</x:f>
      </x:c>
      <x:c r="B41" s="79" t="str"/>
      <x:c r="C41" s="35" t="str"/>
      <x:c r="D41" s="35" t="str"/>
      <x:c r="E41" s="35" t="str"/>
      <x:c r="F41" s="35" t="str"/>
      <x:c r="G41" s="35" t="str"/>
      <x:c r="H41" s="36" t="str"/>
      <x:c r="I41" s="36" t="str"/>
      <x:c r="J41" s="35" t="str"/>
      <x:c r="K41" s="79" t="str"/>
      <x:c r="L41" s="85" t="str"/>
      <x:c r="M41" s="35" t="str"/>
      <x:c r="N41" s="35" t="str"/>
    </x:row>
    <x:row r="42">
      <x:c r="A42" s="84" t="str">
        <x:f>IF(B42="","",ROW()-4)</x:f>
      </x:c>
      <x:c r="B42" s="79" t="str"/>
      <x:c r="C42" s="35" t="str"/>
      <x:c r="D42" s="35" t="str"/>
      <x:c r="E42" s="35" t="str"/>
      <x:c r="F42" s="35" t="str"/>
      <x:c r="G42" s="35" t="str"/>
      <x:c r="H42" s="36" t="str"/>
      <x:c r="I42" s="36" t="str"/>
      <x:c r="J42" s="35" t="str"/>
      <x:c r="K42" s="79" t="str"/>
      <x:c r="L42" s="85" t="str"/>
      <x:c r="M42" s="35" t="str"/>
      <x:c r="N42" s="35" t="str"/>
    </x:row>
    <x:row r="43">
      <x:c r="A43" s="84" t="str">
        <x:f>IF(B43="","",ROW()-4)</x:f>
      </x:c>
      <x:c r="B43" s="79" t="str"/>
      <x:c r="C43" s="35" t="str"/>
      <x:c r="D43" s="35" t="str"/>
      <x:c r="E43" s="35" t="str"/>
      <x:c r="F43" s="35" t="str"/>
      <x:c r="G43" s="35" t="str"/>
      <x:c r="H43" s="36" t="str"/>
      <x:c r="I43" s="36" t="str"/>
      <x:c r="J43" s="35" t="str"/>
      <x:c r="K43" s="79" t="str"/>
      <x:c r="L43" s="85" t="str"/>
      <x:c r="M43" s="35" t="str"/>
      <x:c r="N43" s="35" t="str"/>
    </x:row>
    <x:row r="44">
      <x:c r="A44" s="84" t="str">
        <x:f>IF(B44="","",ROW()-4)</x:f>
      </x:c>
      <x:c r="B44" s="79" t="str"/>
      <x:c r="C44" s="35" t="str"/>
      <x:c r="D44" s="35" t="str"/>
      <x:c r="E44" s="35" t="str"/>
      <x:c r="F44" s="35" t="str"/>
      <x:c r="G44" s="35" t="str"/>
      <x:c r="H44" s="36" t="str"/>
      <x:c r="I44" s="36" t="str"/>
      <x:c r="J44" s="35" t="str"/>
      <x:c r="K44" s="79" t="str"/>
      <x:c r="L44" s="85" t="str"/>
      <x:c r="M44" s="35" t="str"/>
      <x:c r="N44" s="35" t="str"/>
    </x:row>
    <x:row r="45">
      <x:c r="A45" s="84" t="str">
        <x:f>IF(B45="","",ROW()-4)</x:f>
      </x:c>
      <x:c r="B45" s="79" t="str"/>
      <x:c r="C45" s="35" t="str"/>
      <x:c r="D45" s="35" t="str"/>
      <x:c r="E45" s="35" t="str"/>
      <x:c r="F45" s="35" t="str"/>
      <x:c r="G45" s="35" t="str"/>
      <x:c r="H45" s="36" t="str"/>
      <x:c r="I45" s="36" t="str"/>
      <x:c r="J45" s="35" t="str"/>
      <x:c r="K45" s="79" t="str"/>
      <x:c r="L45" s="85" t="str"/>
      <x:c r="M45" s="35" t="str"/>
      <x:c r="N45" s="35" t="str"/>
    </x:row>
    <x:row r="46">
      <x:c r="A46" s="84" t="str">
        <x:f>IF(B46="","",ROW()-4)</x:f>
      </x:c>
      <x:c r="B46" s="79" t="str"/>
      <x:c r="C46" s="35" t="str"/>
      <x:c r="D46" s="35" t="str"/>
      <x:c r="E46" s="35" t="str"/>
      <x:c r="F46" s="35" t="str"/>
      <x:c r="G46" s="35" t="str"/>
      <x:c r="H46" s="36" t="str"/>
      <x:c r="I46" s="36" t="str"/>
      <x:c r="J46" s="35" t="str"/>
      <x:c r="K46" s="79" t="str"/>
      <x:c r="L46" s="85" t="str"/>
      <x:c r="M46" s="35" t="str"/>
      <x:c r="N46" s="35" t="str"/>
    </x:row>
    <x:row r="47">
      <x:c r="A47" s="84" t="str">
        <x:f>IF(B47="","",ROW()-4)</x:f>
      </x:c>
      <x:c r="B47" s="79" t="str"/>
      <x:c r="C47" s="35" t="str"/>
      <x:c r="D47" s="35" t="str"/>
      <x:c r="E47" s="35" t="str"/>
      <x:c r="F47" s="35" t="str"/>
      <x:c r="G47" s="35" t="str"/>
      <x:c r="H47" s="36" t="str"/>
      <x:c r="I47" s="36" t="str"/>
      <x:c r="J47" s="35" t="str"/>
      <x:c r="K47" s="79" t="str"/>
      <x:c r="L47" s="85" t="str"/>
      <x:c r="M47" s="35" t="str"/>
      <x:c r="N47" s="35" t="str"/>
    </x:row>
    <x:row r="48">
      <x:c r="A48" s="84" t="str">
        <x:f>IF(B48="","",ROW()-4)</x:f>
      </x:c>
      <x:c r="B48" s="79" t="str"/>
      <x:c r="C48" s="35" t="str"/>
      <x:c r="D48" s="35" t="str"/>
      <x:c r="E48" s="35" t="str"/>
      <x:c r="F48" s="35" t="str"/>
      <x:c r="G48" s="35" t="str"/>
      <x:c r="H48" s="36" t="str"/>
      <x:c r="I48" s="36" t="str"/>
      <x:c r="J48" s="35" t="str"/>
      <x:c r="K48" s="79" t="str"/>
      <x:c r="L48" s="85" t="str"/>
      <x:c r="M48" s="35" t="str"/>
      <x:c r="N48" s="35" t="str"/>
    </x:row>
    <x:row r="49">
      <x:c r="A49" s="84" t="str">
        <x:f>IF(B49="","",ROW()-4)</x:f>
      </x:c>
      <x:c r="B49" s="79" t="str"/>
      <x:c r="C49" s="35" t="str"/>
      <x:c r="D49" s="35" t="str"/>
      <x:c r="E49" s="35" t="str"/>
      <x:c r="F49" s="35" t="str"/>
      <x:c r="G49" s="35" t="str"/>
      <x:c r="H49" s="36" t="str"/>
      <x:c r="I49" s="36" t="str"/>
      <x:c r="J49" s="35" t="str"/>
      <x:c r="K49" s="79" t="str"/>
      <x:c r="L49" s="85" t="str"/>
      <x:c r="M49" s="35" t="str"/>
      <x:c r="N49" s="35" t="str"/>
    </x:row>
    <x:row r="50">
      <x:c r="A50" s="84" t="str">
        <x:f>IF(B50="","",ROW()-4)</x:f>
      </x:c>
      <x:c r="B50" s="79" t="str"/>
      <x:c r="C50" s="35" t="str"/>
      <x:c r="D50" s="35" t="str"/>
      <x:c r="E50" s="35" t="str"/>
      <x:c r="F50" s="35" t="str"/>
      <x:c r="G50" s="35" t="str"/>
      <x:c r="H50" s="36" t="str"/>
      <x:c r="I50" s="36" t="str"/>
      <x:c r="J50" s="35" t="str"/>
      <x:c r="K50" s="79" t="str"/>
      <x:c r="L50" s="85" t="str"/>
      <x:c r="M50" s="35" t="str"/>
      <x:c r="N50" s="35" t="str"/>
    </x:row>
    <x:row r="51">
      <x:c r="A51" s="84" t="str">
        <x:f>IF(B51="","",ROW()-4)</x:f>
      </x:c>
      <x:c r="B51" s="79" t="str"/>
      <x:c r="C51" s="35" t="str"/>
      <x:c r="D51" s="35" t="str"/>
      <x:c r="E51" s="35" t="str"/>
      <x:c r="F51" s="35" t="str"/>
      <x:c r="G51" s="35" t="str"/>
      <x:c r="H51" s="36" t="str"/>
      <x:c r="I51" s="36" t="str"/>
      <x:c r="J51" s="35" t="str"/>
      <x:c r="K51" s="79" t="str"/>
      <x:c r="L51" s="85" t="str"/>
      <x:c r="M51" s="35" t="str"/>
      <x:c r="N51" s="35" t="str"/>
    </x:row>
    <x:row r="52">
      <x:c r="A52" s="84" t="str">
        <x:f>IF(B52="","",ROW()-4)</x:f>
      </x:c>
      <x:c r="B52" s="79" t="str"/>
      <x:c r="C52" s="35" t="str"/>
      <x:c r="D52" s="35" t="str"/>
      <x:c r="E52" s="35" t="str"/>
      <x:c r="F52" s="35" t="str"/>
      <x:c r="G52" s="35" t="str"/>
      <x:c r="H52" s="36" t="str"/>
      <x:c r="I52" s="36" t="str"/>
      <x:c r="J52" s="35" t="str"/>
      <x:c r="K52" s="79" t="str"/>
      <x:c r="L52" s="85" t="str"/>
      <x:c r="M52" s="35" t="str"/>
      <x:c r="N52" s="35" t="str"/>
    </x:row>
    <x:row r="53">
      <x:c r="A53" s="84" t="str">
        <x:f>IF(B53="","",ROW()-4)</x:f>
      </x:c>
      <x:c r="B53" s="79" t="str"/>
      <x:c r="C53" s="35" t="str"/>
      <x:c r="D53" s="35" t="str"/>
      <x:c r="E53" s="35" t="str"/>
      <x:c r="F53" s="35" t="str"/>
      <x:c r="G53" s="35" t="str"/>
      <x:c r="H53" s="36" t="str"/>
      <x:c r="I53" s="36" t="str"/>
      <x:c r="J53" s="35" t="str"/>
      <x:c r="K53" s="79" t="str"/>
      <x:c r="L53" s="85" t="str"/>
      <x:c r="M53" s="35" t="str"/>
      <x:c r="N53" s="35" t="str"/>
    </x:row>
    <x:row r="54">
      <x:c r="A54" s="84" t="str">
        <x:f>IF(B54="","",ROW()-4)</x:f>
      </x:c>
      <x:c r="B54" s="79" t="str"/>
      <x:c r="C54" s="35" t="str"/>
      <x:c r="D54" s="35" t="str"/>
      <x:c r="E54" s="35" t="str"/>
      <x:c r="F54" s="35" t="str"/>
      <x:c r="G54" s="35" t="str"/>
      <x:c r="H54" s="36" t="str"/>
      <x:c r="I54" s="36" t="str"/>
      <x:c r="J54" s="35" t="str"/>
      <x:c r="K54" s="79" t="str"/>
      <x:c r="L54" s="85" t="str"/>
      <x:c r="M54" s="35" t="str"/>
      <x:c r="N54" s="35" t="str"/>
    </x:row>
    <x:row r="55">
      <x:c r="A55" s="84" t="str">
        <x:f>IF(B55="","",ROW()-4)</x:f>
      </x:c>
      <x:c r="B55" s="79" t="str"/>
      <x:c r="C55" s="35" t="str"/>
      <x:c r="D55" s="35" t="str"/>
      <x:c r="E55" s="35" t="str"/>
      <x:c r="F55" s="35" t="str"/>
      <x:c r="G55" s="35" t="str"/>
      <x:c r="H55" s="36" t="str"/>
      <x:c r="I55" s="36" t="str"/>
      <x:c r="J55" s="35" t="str"/>
      <x:c r="K55" s="79" t="str"/>
      <x:c r="L55" s="85" t="str"/>
      <x:c r="M55" s="35" t="str"/>
      <x:c r="N55" s="35" t="str"/>
    </x:row>
    <x:row r="56">
      <x:c r="A56" s="84" t="str">
        <x:f>IF(B56="","",ROW()-4)</x:f>
      </x:c>
      <x:c r="B56" s="79" t="str"/>
      <x:c r="C56" s="35" t="str"/>
      <x:c r="D56" s="35" t="str"/>
      <x:c r="E56" s="35" t="str"/>
      <x:c r="F56" s="35" t="str"/>
      <x:c r="G56" s="35" t="str"/>
      <x:c r="H56" s="36" t="str"/>
      <x:c r="I56" s="36" t="str"/>
      <x:c r="J56" s="35" t="str"/>
      <x:c r="K56" s="79" t="str"/>
      <x:c r="L56" s="85" t="str"/>
      <x:c r="M56" s="35" t="str"/>
      <x:c r="N56" s="35" t="str"/>
    </x:row>
    <x:row r="57">
      <x:c r="A57" s="84" t="str">
        <x:f>IF(B57="","",ROW()-4)</x:f>
      </x:c>
      <x:c r="B57" s="79" t="str"/>
      <x:c r="C57" s="35" t="str"/>
      <x:c r="D57" s="35" t="str"/>
      <x:c r="E57" s="35" t="str"/>
      <x:c r="F57" s="35" t="str"/>
      <x:c r="G57" s="35" t="str"/>
      <x:c r="H57" s="36" t="str"/>
      <x:c r="I57" s="36" t="str"/>
      <x:c r="J57" s="35" t="str"/>
      <x:c r="K57" s="79" t="str"/>
      <x:c r="L57" s="85" t="str"/>
      <x:c r="M57" s="35" t="str"/>
      <x:c r="N57" s="35" t="str"/>
    </x:row>
    <x:row r="58">
      <x:c r="A58" s="84" t="str">
        <x:f>IF(B58="","",ROW()-4)</x:f>
      </x:c>
      <x:c r="B58" s="79" t="str"/>
      <x:c r="C58" s="35" t="str"/>
      <x:c r="D58" s="35" t="str"/>
      <x:c r="E58" s="35" t="str"/>
      <x:c r="F58" s="35" t="str"/>
      <x:c r="G58" s="35" t="str"/>
      <x:c r="H58" s="36" t="str"/>
      <x:c r="I58" s="36" t="str"/>
      <x:c r="J58" s="35" t="str"/>
      <x:c r="K58" s="79" t="str"/>
      <x:c r="L58" s="85" t="str"/>
      <x:c r="M58" s="35" t="str"/>
      <x:c r="N58" s="35" t="str"/>
    </x:row>
    <x:row r="59">
      <x:c r="A59" s="84" t="str">
        <x:f>IF(B59="","",ROW()-4)</x:f>
      </x:c>
      <x:c r="B59" s="79" t="str"/>
      <x:c r="C59" s="35" t="str"/>
      <x:c r="D59" s="35" t="str"/>
      <x:c r="E59" s="35" t="str"/>
      <x:c r="F59" s="35" t="str"/>
      <x:c r="G59" s="35" t="str"/>
      <x:c r="H59" s="36" t="str"/>
      <x:c r="I59" s="36" t="str"/>
      <x:c r="J59" s="35" t="str"/>
      <x:c r="K59" s="79" t="str"/>
      <x:c r="L59" s="85" t="str"/>
      <x:c r="M59" s="35" t="str"/>
      <x:c r="N59" s="35" t="str"/>
    </x:row>
    <x:row r="60">
      <x:c r="A60" s="84" t="str">
        <x:f>IF(B60="","",ROW()-4)</x:f>
      </x:c>
      <x:c r="B60" s="79" t="str"/>
      <x:c r="C60" s="35" t="str"/>
      <x:c r="D60" s="35" t="str"/>
      <x:c r="E60" s="35" t="str"/>
      <x:c r="F60" s="35" t="str"/>
      <x:c r="G60" s="35" t="str"/>
      <x:c r="H60" s="36" t="str"/>
      <x:c r="I60" s="36" t="str"/>
      <x:c r="J60" s="35" t="str"/>
      <x:c r="K60" s="79" t="str"/>
      <x:c r="L60" s="85" t="str"/>
      <x:c r="M60" s="35" t="str"/>
      <x:c r="N60" s="35" t="str"/>
    </x:row>
    <x:row r="61">
      <x:c r="A61" s="84" t="str">
        <x:f>IF(B61="","",ROW()-4)</x:f>
      </x:c>
      <x:c r="B61" s="79" t="str"/>
      <x:c r="C61" s="35" t="str"/>
      <x:c r="D61" s="35" t="str"/>
      <x:c r="E61" s="35" t="str"/>
      <x:c r="F61" s="35" t="str"/>
      <x:c r="G61" s="35" t="str"/>
      <x:c r="H61" s="36" t="str"/>
      <x:c r="I61" s="36" t="str"/>
      <x:c r="J61" s="35" t="str"/>
      <x:c r="K61" s="79" t="str"/>
      <x:c r="L61" s="85" t="str"/>
      <x:c r="M61" s="35" t="str"/>
      <x:c r="N61" s="35" t="str"/>
    </x:row>
    <x:row r="62">
      <x:c r="A62" s="84" t="str">
        <x:f>IF(B62="","",ROW()-4)</x:f>
      </x:c>
      <x:c r="B62" s="79" t="str"/>
      <x:c r="C62" s="35" t="str"/>
      <x:c r="D62" s="35" t="str"/>
      <x:c r="E62" s="35" t="str"/>
      <x:c r="F62" s="35" t="str"/>
      <x:c r="G62" s="35" t="str"/>
      <x:c r="H62" s="36" t="str"/>
      <x:c r="I62" s="36" t="str"/>
      <x:c r="J62" s="35" t="str"/>
      <x:c r="K62" s="79" t="str"/>
      <x:c r="L62" s="85" t="str"/>
      <x:c r="M62" s="35" t="str"/>
      <x:c r="N62" s="35" t="str"/>
    </x:row>
    <x:row r="63">
      <x:c r="A63" s="84" t="str">
        <x:f>IF(B63="","",ROW()-4)</x:f>
      </x:c>
      <x:c r="B63" s="79" t="str"/>
      <x:c r="C63" s="35" t="str"/>
      <x:c r="D63" s="35" t="str"/>
      <x:c r="E63" s="35" t="str"/>
      <x:c r="F63" s="35" t="str"/>
      <x:c r="G63" s="35" t="str"/>
      <x:c r="H63" s="36" t="str"/>
      <x:c r="I63" s="36" t="str"/>
      <x:c r="J63" s="35" t="str"/>
      <x:c r="K63" s="79" t="str"/>
      <x:c r="L63" s="85" t="str"/>
      <x:c r="M63" s="35" t="str"/>
      <x:c r="N63" s="35" t="str"/>
    </x:row>
    <x:row r="64">
      <x:c r="A64" s="84" t="str">
        <x:f>IF(B64="","",ROW()-4)</x:f>
      </x:c>
      <x:c r="B64" s="79" t="str"/>
      <x:c r="C64" s="35" t="str"/>
      <x:c r="D64" s="35" t="str"/>
      <x:c r="E64" s="35" t="str"/>
      <x:c r="F64" s="35" t="str"/>
      <x:c r="G64" s="35" t="str"/>
      <x:c r="H64" s="36" t="str"/>
      <x:c r="I64" s="36" t="str"/>
      <x:c r="J64" s="35" t="str"/>
      <x:c r="K64" s="79" t="str"/>
      <x:c r="L64" s="85" t="str"/>
      <x:c r="M64" s="35" t="str"/>
      <x:c r="N64" s="35" t="str"/>
    </x:row>
    <x:row r="65">
      <x:c r="A65" s="84" t="str">
        <x:f>IF(B65="","",ROW()-4)</x:f>
      </x:c>
      <x:c r="B65" s="79" t="str"/>
      <x:c r="C65" s="35" t="str"/>
      <x:c r="D65" s="35" t="str"/>
      <x:c r="E65" s="35" t="str"/>
      <x:c r="F65" s="35" t="str"/>
      <x:c r="G65" s="35" t="str"/>
      <x:c r="H65" s="36" t="str"/>
      <x:c r="I65" s="36" t="str"/>
      <x:c r="J65" s="35" t="str"/>
      <x:c r="K65" s="79" t="str"/>
      <x:c r="L65" s="85" t="str"/>
      <x:c r="M65" s="35" t="str"/>
      <x:c r="N65" s="35" t="str"/>
    </x:row>
    <x:row r="66">
      <x:c r="A66" s="84" t="str">
        <x:f>IF(B66="","",ROW()-4)</x:f>
      </x:c>
      <x:c r="B66" s="79" t="str"/>
      <x:c r="C66" s="35" t="str"/>
      <x:c r="D66" s="35" t="str"/>
      <x:c r="E66" s="35" t="str"/>
      <x:c r="F66" s="35" t="str"/>
      <x:c r="G66" s="35" t="str"/>
      <x:c r="H66" s="36" t="str"/>
      <x:c r="I66" s="36" t="str"/>
      <x:c r="J66" s="35" t="str"/>
      <x:c r="K66" s="79" t="str"/>
      <x:c r="L66" s="85" t="str"/>
      <x:c r="M66" s="35" t="str"/>
      <x:c r="N66" s="35" t="str"/>
    </x:row>
    <x:row r="67">
      <x:c r="A67" s="84" t="str">
        <x:f>IF(B67="","",ROW()-4)</x:f>
      </x:c>
      <x:c r="B67" s="79" t="str"/>
      <x:c r="C67" s="35" t="str"/>
      <x:c r="D67" s="35" t="str"/>
      <x:c r="E67" s="35" t="str"/>
      <x:c r="F67" s="35" t="str"/>
      <x:c r="G67" s="35" t="str"/>
      <x:c r="H67" s="36" t="str"/>
      <x:c r="I67" s="36" t="str"/>
      <x:c r="J67" s="35" t="str"/>
      <x:c r="K67" s="79" t="str"/>
      <x:c r="L67" s="85" t="str"/>
      <x:c r="M67" s="35" t="str"/>
      <x:c r="N67" s="35" t="str"/>
    </x:row>
    <x:row r="68">
      <x:c r="A68" s="84" t="str">
        <x:f>IF(B68="","",ROW()-4)</x:f>
      </x:c>
      <x:c r="B68" s="79" t="str"/>
      <x:c r="C68" s="35" t="str"/>
      <x:c r="D68" s="35" t="str"/>
      <x:c r="E68" s="35" t="str"/>
      <x:c r="F68" s="35" t="str"/>
      <x:c r="G68" s="35" t="str"/>
      <x:c r="H68" s="36" t="str"/>
      <x:c r="I68" s="36" t="str"/>
      <x:c r="J68" s="35" t="str"/>
      <x:c r="K68" s="79" t="str"/>
      <x:c r="L68" s="85" t="str"/>
      <x:c r="M68" s="35" t="str"/>
      <x:c r="N68" s="35" t="str"/>
    </x:row>
    <x:row r="69">
      <x:c r="A69" s="84" t="str">
        <x:f>IF(B69="","",ROW()-4)</x:f>
      </x:c>
      <x:c r="B69" s="79" t="str"/>
      <x:c r="C69" s="35" t="str"/>
      <x:c r="D69" s="35" t="str"/>
      <x:c r="E69" s="35" t="str"/>
      <x:c r="F69" s="35" t="str"/>
      <x:c r="G69" s="35" t="str"/>
      <x:c r="H69" s="36" t="str"/>
      <x:c r="I69" s="36" t="str"/>
      <x:c r="J69" s="35" t="str"/>
      <x:c r="K69" s="79" t="str"/>
      <x:c r="L69" s="85" t="str"/>
      <x:c r="M69" s="35" t="str"/>
      <x:c r="N69" s="35" t="str"/>
    </x:row>
    <x:row r="70">
      <x:c r="A70" s="84" t="str">
        <x:f>IF(B70="","",ROW()-4)</x:f>
      </x:c>
      <x:c r="B70" s="79" t="str"/>
      <x:c r="C70" s="35" t="str"/>
      <x:c r="D70" s="35" t="str"/>
      <x:c r="E70" s="35" t="str"/>
      <x:c r="F70" s="35" t="str"/>
      <x:c r="G70" s="35" t="str"/>
      <x:c r="H70" s="36" t="str"/>
      <x:c r="I70" s="36" t="str"/>
      <x:c r="J70" s="35" t="str"/>
      <x:c r="K70" s="79" t="str"/>
      <x:c r="L70" s="85" t="str"/>
      <x:c r="M70" s="35" t="str"/>
      <x:c r="N70" s="35" t="str"/>
    </x:row>
    <x:row r="71">
      <x:c r="A71" s="84" t="str">
        <x:f>IF(B71="","",ROW()-4)</x:f>
      </x:c>
      <x:c r="B71" s="79" t="str"/>
      <x:c r="C71" s="35" t="str"/>
      <x:c r="D71" s="35" t="str"/>
      <x:c r="E71" s="35" t="str"/>
      <x:c r="F71" s="35" t="str"/>
      <x:c r="G71" s="35" t="str"/>
      <x:c r="H71" s="36" t="str"/>
      <x:c r="I71" s="36" t="str"/>
      <x:c r="J71" s="35" t="str"/>
      <x:c r="K71" s="79" t="str"/>
      <x:c r="L71" s="85" t="str"/>
      <x:c r="M71" s="35" t="str"/>
      <x:c r="N71" s="35" t="str"/>
    </x:row>
    <x:row r="72">
      <x:c r="A72" s="84" t="str">
        <x:f>IF(B72="","",ROW()-4)</x:f>
      </x:c>
      <x:c r="B72" s="79" t="str"/>
      <x:c r="C72" s="35" t="str"/>
      <x:c r="D72" s="35" t="str"/>
      <x:c r="E72" s="35" t="str"/>
      <x:c r="F72" s="35" t="str"/>
      <x:c r="G72" s="35" t="str"/>
      <x:c r="H72" s="36" t="str"/>
      <x:c r="I72" s="36" t="str"/>
      <x:c r="J72" s="35" t="str"/>
      <x:c r="K72" s="79" t="str"/>
      <x:c r="L72" s="85" t="str"/>
      <x:c r="M72" s="35" t="str"/>
      <x:c r="N72" s="35" t="str"/>
    </x:row>
    <x:row r="73">
      <x:c r="A73" s="84" t="str">
        <x:f>IF(B73="","",ROW()-4)</x:f>
      </x:c>
      <x:c r="B73" s="79" t="str"/>
      <x:c r="C73" s="35" t="str"/>
      <x:c r="D73" s="35" t="str"/>
      <x:c r="E73" s="35" t="str"/>
      <x:c r="F73" s="35" t="str"/>
      <x:c r="G73" s="35" t="str"/>
      <x:c r="H73" s="36" t="str"/>
      <x:c r="I73" s="36" t="str"/>
      <x:c r="J73" s="35" t="str"/>
      <x:c r="K73" s="79" t="str"/>
      <x:c r="L73" s="85" t="str"/>
      <x:c r="M73" s="35" t="str"/>
      <x:c r="N73" s="35" t="str"/>
    </x:row>
    <x:row r="74">
      <x:c r="A74" s="84" t="str">
        <x:f>IF(B74="","",ROW()-4)</x:f>
      </x:c>
      <x:c r="B74" s="79" t="str"/>
      <x:c r="C74" s="35" t="str"/>
      <x:c r="D74" s="35" t="str"/>
      <x:c r="E74" s="35" t="str"/>
      <x:c r="F74" s="35" t="str"/>
      <x:c r="G74" s="35" t="str"/>
      <x:c r="H74" s="36" t="str"/>
      <x:c r="I74" s="36" t="str"/>
      <x:c r="J74" s="35" t="str"/>
      <x:c r="K74" s="79" t="str"/>
      <x:c r="L74" s="85" t="str"/>
      <x:c r="M74" s="35" t="str"/>
      <x:c r="N74" s="35" t="str"/>
    </x:row>
    <x:row r="75">
      <x:c r="A75" s="84" t="str">
        <x:f>IF(B75="","",ROW()-4)</x:f>
      </x:c>
      <x:c r="B75" s="79" t="str"/>
      <x:c r="C75" s="35" t="str"/>
      <x:c r="D75" s="35" t="str"/>
      <x:c r="E75" s="35" t="str"/>
      <x:c r="F75" s="35" t="str"/>
      <x:c r="G75" s="35" t="str"/>
      <x:c r="H75" s="36" t="str"/>
      <x:c r="I75" s="36" t="str"/>
      <x:c r="J75" s="35" t="str"/>
      <x:c r="K75" s="79" t="str"/>
      <x:c r="L75" s="85" t="str"/>
      <x:c r="M75" s="35" t="str"/>
      <x:c r="N75" s="35" t="str"/>
    </x:row>
    <x:row r="76">
      <x:c r="A76" s="84" t="str">
        <x:f>IF(B76="","",ROW()-4)</x:f>
      </x:c>
      <x:c r="B76" s="79" t="str"/>
      <x:c r="C76" s="35" t="str"/>
      <x:c r="D76" s="35" t="str"/>
      <x:c r="E76" s="35" t="str"/>
      <x:c r="F76" s="35" t="str"/>
      <x:c r="G76" s="35" t="str"/>
      <x:c r="H76" s="36" t="str"/>
      <x:c r="I76" s="36" t="str"/>
      <x:c r="J76" s="35" t="str"/>
      <x:c r="K76" s="79" t="str"/>
      <x:c r="L76" s="85" t="str"/>
      <x:c r="M76" s="35" t="str"/>
      <x:c r="N76" s="35" t="str"/>
    </x:row>
    <x:row r="77">
      <x:c r="A77" s="84" t="str">
        <x:f>IF(B77="","",ROW()-4)</x:f>
      </x:c>
      <x:c r="B77" s="79" t="str"/>
      <x:c r="C77" s="35" t="str"/>
      <x:c r="D77" s="35" t="str"/>
      <x:c r="E77" s="35" t="str"/>
      <x:c r="F77" s="35" t="str"/>
      <x:c r="G77" s="35" t="str"/>
      <x:c r="H77" s="36" t="str"/>
      <x:c r="I77" s="36" t="str"/>
      <x:c r="J77" s="35" t="str"/>
      <x:c r="K77" s="79" t="str"/>
      <x:c r="L77" s="85" t="str"/>
      <x:c r="M77" s="35" t="str"/>
      <x:c r="N77" s="35" t="str"/>
    </x:row>
    <x:row r="78">
      <x:c r="A78" s="84" t="str">
        <x:f>IF(B78="","",ROW()-4)</x:f>
      </x:c>
      <x:c r="B78" s="79" t="str"/>
      <x:c r="C78" s="35" t="str"/>
      <x:c r="D78" s="35" t="str"/>
      <x:c r="E78" s="35" t="str"/>
      <x:c r="F78" s="35" t="str"/>
      <x:c r="G78" s="35" t="str"/>
      <x:c r="H78" s="36" t="str"/>
      <x:c r="I78" s="36" t="str"/>
      <x:c r="J78" s="35" t="str"/>
      <x:c r="K78" s="79" t="str"/>
      <x:c r="L78" s="85" t="str"/>
      <x:c r="M78" s="35" t="str"/>
      <x:c r="N78" s="35" t="str"/>
    </x:row>
    <x:row r="79">
      <x:c r="A79" s="84" t="str">
        <x:f>IF(B79="","",ROW()-4)</x:f>
      </x:c>
      <x:c r="B79" s="79" t="str"/>
      <x:c r="C79" s="35" t="str"/>
      <x:c r="D79" s="35" t="str"/>
      <x:c r="E79" s="35" t="str"/>
      <x:c r="F79" s="35" t="str"/>
      <x:c r="G79" s="35" t="str"/>
      <x:c r="H79" s="36" t="str"/>
      <x:c r="I79" s="36" t="str"/>
      <x:c r="J79" s="35" t="str"/>
      <x:c r="K79" s="79" t="str"/>
      <x:c r="L79" s="85" t="str"/>
      <x:c r="M79" s="35" t="str"/>
      <x:c r="N79" s="35" t="str"/>
    </x:row>
    <x:row r="80">
      <x:c r="A80" s="84" t="str">
        <x:f>IF(B80="","",ROW()-4)</x:f>
      </x:c>
      <x:c r="B80" s="79" t="str"/>
      <x:c r="C80" s="35" t="str"/>
      <x:c r="D80" s="35" t="str"/>
      <x:c r="E80" s="35" t="str"/>
      <x:c r="F80" s="35" t="str"/>
      <x:c r="G80" s="35" t="str"/>
      <x:c r="H80" s="36" t="str"/>
      <x:c r="I80" s="36" t="str"/>
      <x:c r="J80" s="35" t="str"/>
      <x:c r="K80" s="79" t="str"/>
      <x:c r="L80" s="85" t="str"/>
      <x:c r="M80" s="35" t="str"/>
      <x:c r="N80" s="35" t="str"/>
    </x:row>
    <x:row r="81">
      <x:c r="A81" s="84" t="str">
        <x:f>IF(B81="","",ROW()-4)</x:f>
      </x:c>
      <x:c r="B81" s="79" t="str"/>
      <x:c r="C81" s="35" t="str"/>
      <x:c r="D81" s="35" t="str"/>
      <x:c r="E81" s="35" t="str"/>
      <x:c r="F81" s="35" t="str"/>
      <x:c r="G81" s="35" t="str"/>
      <x:c r="H81" s="36" t="str"/>
      <x:c r="I81" s="36" t="str"/>
      <x:c r="J81" s="35" t="str"/>
      <x:c r="K81" s="79" t="str"/>
      <x:c r="L81" s="85" t="str"/>
      <x:c r="M81" s="35" t="str"/>
      <x:c r="N81" s="35" t="str"/>
    </x:row>
    <x:row r="82">
      <x:c r="A82" s="84" t="str">
        <x:f>IF(B82="","",ROW()-4)</x:f>
      </x:c>
      <x:c r="B82" s="79" t="str"/>
      <x:c r="C82" s="35" t="str"/>
      <x:c r="D82" s="35" t="str"/>
      <x:c r="E82" s="35" t="str"/>
      <x:c r="F82" s="35" t="str"/>
      <x:c r="G82" s="35" t="str"/>
      <x:c r="H82" s="36" t="str"/>
      <x:c r="I82" s="36" t="str"/>
      <x:c r="J82" s="35" t="str"/>
      <x:c r="K82" s="79" t="str"/>
      <x:c r="L82" s="85" t="str"/>
      <x:c r="M82" s="35" t="str"/>
      <x:c r="N82" s="35" t="str"/>
    </x:row>
    <x:row r="83">
      <x:c r="A83" s="84" t="str">
        <x:f>IF(B83="","",ROW()-4)</x:f>
      </x:c>
      <x:c r="B83" s="79" t="str"/>
      <x:c r="C83" s="35" t="str"/>
      <x:c r="D83" s="35" t="str"/>
      <x:c r="E83" s="35" t="str"/>
      <x:c r="F83" s="35" t="str"/>
      <x:c r="G83" s="35" t="str"/>
      <x:c r="H83" s="36" t="str"/>
      <x:c r="I83" s="36" t="str"/>
      <x:c r="J83" s="35" t="str"/>
      <x:c r="K83" s="79" t="str"/>
      <x:c r="L83" s="85" t="str"/>
      <x:c r="M83" s="35" t="str"/>
      <x:c r="N83" s="35" t="str"/>
    </x:row>
    <x:row r="84">
      <x:c r="A84" s="84" t="str">
        <x:f>IF(B84="","",ROW()-4)</x:f>
      </x:c>
      <x:c r="B84" s="79" t="str"/>
      <x:c r="C84" s="35" t="str"/>
      <x:c r="D84" s="35" t="str"/>
      <x:c r="E84" s="35" t="str"/>
      <x:c r="F84" s="35" t="str"/>
      <x:c r="G84" s="35" t="str"/>
      <x:c r="H84" s="36" t="str"/>
      <x:c r="I84" s="36" t="str"/>
      <x:c r="J84" s="35" t="str"/>
      <x:c r="K84" s="79" t="str"/>
      <x:c r="L84" s="85" t="str"/>
      <x:c r="M84" s="35" t="str"/>
      <x:c r="N84" s="35" t="str"/>
    </x:row>
    <x:row r="85">
      <x:c r="A85" s="84" t="str">
        <x:f>IF(B85="","",ROW()-4)</x:f>
      </x:c>
      <x:c r="B85" s="79" t="str"/>
      <x:c r="C85" s="35" t="str"/>
      <x:c r="D85" s="35" t="str"/>
      <x:c r="E85" s="35" t="str"/>
      <x:c r="F85" s="35" t="str"/>
      <x:c r="G85" s="35" t="str"/>
      <x:c r="H85" s="36" t="str"/>
      <x:c r="I85" s="36" t="str"/>
      <x:c r="J85" s="35" t="str"/>
      <x:c r="K85" s="79" t="str"/>
      <x:c r="L85" s="85" t="str"/>
      <x:c r="M85" s="35" t="str"/>
      <x:c r="N85" s="35" t="str"/>
    </x:row>
    <x:row r="86">
      <x:c r="A86" s="84" t="str">
        <x:f>IF(B86="","",ROW()-4)</x:f>
      </x:c>
      <x:c r="B86" s="79" t="str"/>
      <x:c r="C86" s="35" t="str"/>
      <x:c r="D86" s="35" t="str"/>
      <x:c r="E86" s="35" t="str"/>
      <x:c r="F86" s="35" t="str"/>
      <x:c r="G86" s="35" t="str"/>
      <x:c r="H86" s="36" t="str"/>
      <x:c r="I86" s="36" t="str"/>
      <x:c r="J86" s="35" t="str"/>
      <x:c r="K86" s="79" t="str"/>
      <x:c r="L86" s="85" t="str"/>
      <x:c r="M86" s="35" t="str"/>
      <x:c r="N86" s="35" t="str"/>
    </x:row>
    <x:row r="87">
      <x:c r="A87" s="84" t="str">
        <x:f>IF(B87="","",ROW()-4)</x:f>
      </x:c>
      <x:c r="B87" s="79" t="str"/>
      <x:c r="C87" s="35" t="str"/>
      <x:c r="D87" s="35" t="str"/>
      <x:c r="E87" s="35" t="str"/>
      <x:c r="F87" s="35" t="str"/>
      <x:c r="G87" s="35" t="str"/>
      <x:c r="H87" s="36" t="str"/>
      <x:c r="I87" s="36" t="str"/>
      <x:c r="J87" s="35" t="str"/>
      <x:c r="K87" s="79" t="str"/>
      <x:c r="L87" s="85" t="str"/>
      <x:c r="M87" s="35" t="str"/>
      <x:c r="N87" s="35" t="str"/>
    </x:row>
    <x:row r="88">
      <x:c r="A88" s="84" t="str">
        <x:f>IF(B88="","",ROW()-4)</x:f>
      </x:c>
      <x:c r="B88" s="79" t="str"/>
      <x:c r="C88" s="35" t="str"/>
      <x:c r="D88" s="35" t="str"/>
      <x:c r="E88" s="35" t="str"/>
      <x:c r="F88" s="35" t="str"/>
      <x:c r="G88" s="35" t="str"/>
      <x:c r="H88" s="36" t="str"/>
      <x:c r="I88" s="36" t="str"/>
      <x:c r="J88" s="35" t="str"/>
      <x:c r="K88" s="79" t="str"/>
      <x:c r="L88" s="85" t="str"/>
      <x:c r="M88" s="35" t="str"/>
      <x:c r="N88" s="35" t="str"/>
    </x:row>
    <x:row r="89">
      <x:c r="A89" s="84" t="str">
        <x:f>IF(B89="","",ROW()-4)</x:f>
      </x:c>
      <x:c r="B89" s="79" t="str"/>
      <x:c r="C89" s="35" t="str"/>
      <x:c r="D89" s="35" t="str"/>
      <x:c r="E89" s="35" t="str"/>
      <x:c r="F89" s="35" t="str"/>
      <x:c r="G89" s="35" t="str"/>
      <x:c r="H89" s="36" t="str"/>
      <x:c r="I89" s="36" t="str"/>
      <x:c r="J89" s="35" t="str"/>
      <x:c r="K89" s="79" t="str"/>
      <x:c r="L89" s="85" t="str"/>
      <x:c r="M89" s="35" t="str"/>
      <x:c r="N89" s="35" t="str"/>
    </x:row>
    <x:row r="90">
      <x:c r="A90" s="84" t="str">
        <x:f>IF(B90="","",ROW()-4)</x:f>
      </x:c>
      <x:c r="B90" s="79" t="str"/>
      <x:c r="C90" s="35" t="str"/>
      <x:c r="D90" s="35" t="str"/>
      <x:c r="E90" s="35" t="str"/>
      <x:c r="F90" s="35" t="str"/>
      <x:c r="G90" s="35" t="str"/>
      <x:c r="H90" s="36" t="str"/>
      <x:c r="I90" s="36" t="str"/>
      <x:c r="J90" s="35" t="str"/>
      <x:c r="K90" s="79" t="str"/>
      <x:c r="L90" s="85" t="str"/>
      <x:c r="M90" s="35" t="str"/>
      <x:c r="N90" s="35" t="str"/>
    </x:row>
    <x:row r="91">
      <x:c r="A91" s="84" t="str">
        <x:f>IF(B91="","",ROW()-4)</x:f>
      </x:c>
      <x:c r="B91" s="79" t="str"/>
      <x:c r="C91" s="35" t="str"/>
      <x:c r="D91" s="35" t="str"/>
      <x:c r="E91" s="35" t="str"/>
      <x:c r="F91" s="35" t="str"/>
      <x:c r="G91" s="35" t="str"/>
      <x:c r="H91" s="36" t="str"/>
      <x:c r="I91" s="36" t="str"/>
      <x:c r="J91" s="35" t="str"/>
      <x:c r="K91" s="79" t="str"/>
      <x:c r="L91" s="85" t="str"/>
      <x:c r="M91" s="35" t="str"/>
      <x:c r="N91" s="35" t="str"/>
    </x:row>
    <x:row r="92">
      <x:c r="A92" s="84" t="str">
        <x:f>IF(B92="","",ROW()-4)</x:f>
      </x:c>
      <x:c r="B92" s="79" t="str"/>
      <x:c r="C92" s="35" t="str"/>
      <x:c r="D92" s="35" t="str"/>
      <x:c r="E92" s="35" t="str"/>
      <x:c r="F92" s="35" t="str"/>
      <x:c r="G92" s="35" t="str"/>
      <x:c r="H92" s="36" t="str"/>
      <x:c r="I92" s="36" t="str"/>
      <x:c r="J92" s="35" t="str"/>
      <x:c r="K92" s="79" t="str"/>
      <x:c r="L92" s="85" t="str"/>
      <x:c r="M92" s="35" t="str"/>
      <x:c r="N92" s="35" t="str"/>
    </x:row>
    <x:row r="93">
      <x:c r="A93" s="84" t="str">
        <x:f>IF(B93="","",ROW()-4)</x:f>
      </x:c>
      <x:c r="B93" s="79" t="str"/>
      <x:c r="C93" s="35" t="str"/>
      <x:c r="D93" s="35" t="str"/>
      <x:c r="E93" s="35" t="str"/>
      <x:c r="F93" s="35" t="str"/>
      <x:c r="G93" s="35" t="str"/>
      <x:c r="H93" s="36" t="str"/>
      <x:c r="I93" s="36" t="str"/>
      <x:c r="J93" s="35" t="str"/>
      <x:c r="K93" s="79" t="str"/>
      <x:c r="L93" s="85" t="str"/>
      <x:c r="M93" s="35" t="str"/>
      <x:c r="N93" s="35" t="str"/>
    </x:row>
    <x:row r="94">
      <x:c r="A94" s="84" t="str">
        <x:f>IF(B94="","",ROW()-4)</x:f>
      </x:c>
      <x:c r="B94" s="79" t="str"/>
      <x:c r="C94" s="35" t="str"/>
      <x:c r="D94" s="35" t="str"/>
      <x:c r="E94" s="35" t="str"/>
      <x:c r="F94" s="35" t="str"/>
      <x:c r="G94" s="35" t="str"/>
      <x:c r="H94" s="36" t="str"/>
      <x:c r="I94" s="36" t="str"/>
      <x:c r="J94" s="35" t="str"/>
      <x:c r="K94" s="79" t="str"/>
      <x:c r="L94" s="85" t="str"/>
      <x:c r="M94" s="35" t="str"/>
      <x:c r="N94" s="35" t="str"/>
    </x:row>
    <x:row r="95">
      <x:c r="A95" s="84" t="str">
        <x:f>IF(B95="","",ROW()-4)</x:f>
      </x:c>
      <x:c r="B95" s="79" t="str"/>
      <x:c r="C95" s="35" t="str"/>
      <x:c r="D95" s="35" t="str"/>
      <x:c r="E95" s="35" t="str"/>
      <x:c r="F95" s="35" t="str"/>
      <x:c r="G95" s="35" t="str"/>
      <x:c r="H95" s="36" t="str"/>
      <x:c r="I95" s="36" t="str"/>
      <x:c r="J95" s="35" t="str"/>
      <x:c r="K95" s="79" t="str"/>
      <x:c r="L95" s="85" t="str"/>
      <x:c r="M95" s="35" t="str"/>
      <x:c r="N95" s="35" t="str"/>
    </x:row>
    <x:row r="96">
      <x:c r="A96" s="84" t="str">
        <x:f>IF(B96="","",ROW()-4)</x:f>
      </x:c>
      <x:c r="B96" s="79" t="str"/>
      <x:c r="C96" s="35" t="str"/>
      <x:c r="D96" s="35" t="str"/>
      <x:c r="E96" s="35" t="str"/>
      <x:c r="F96" s="35" t="str"/>
      <x:c r="G96" s="35" t="str"/>
      <x:c r="H96" s="36" t="str"/>
      <x:c r="I96" s="36" t="str"/>
      <x:c r="J96" s="35" t="str"/>
      <x:c r="K96" s="79" t="str"/>
      <x:c r="L96" s="85" t="str"/>
      <x:c r="M96" s="35" t="str"/>
      <x:c r="N96" s="35" t="str"/>
    </x:row>
    <x:row r="97">
      <x:c r="A97" s="84" t="str">
        <x:f>IF(B97="","",ROW()-4)</x:f>
      </x:c>
      <x:c r="B97" s="79" t="str"/>
      <x:c r="C97" s="35" t="str"/>
      <x:c r="D97" s="35" t="str"/>
      <x:c r="E97" s="35" t="str"/>
      <x:c r="F97" s="35" t="str"/>
      <x:c r="G97" s="35" t="str"/>
      <x:c r="H97" s="36" t="str"/>
      <x:c r="I97" s="36" t="str"/>
      <x:c r="J97" s="35" t="str"/>
      <x:c r="K97" s="79" t="str"/>
      <x:c r="L97" s="85" t="str"/>
      <x:c r="M97" s="35" t="str"/>
      <x:c r="N97" s="35" t="str"/>
    </x:row>
    <x:row r="98">
      <x:c r="A98" s="84" t="str">
        <x:f>IF(B98="","",ROW()-4)</x:f>
      </x:c>
      <x:c r="B98" s="79" t="str"/>
      <x:c r="C98" s="35" t="str"/>
      <x:c r="D98" s="35" t="str"/>
      <x:c r="E98" s="35" t="str"/>
      <x:c r="F98" s="35" t="str"/>
      <x:c r="G98" s="35" t="str"/>
      <x:c r="H98" s="36" t="str"/>
      <x:c r="I98" s="36" t="str"/>
      <x:c r="J98" s="35" t="str"/>
      <x:c r="K98" s="79" t="str"/>
      <x:c r="L98" s="85" t="str"/>
      <x:c r="M98" s="35" t="str"/>
      <x:c r="N98" s="35" t="str"/>
    </x:row>
    <x:row r="99">
      <x:c r="A99" s="84" t="str">
        <x:f>IF(B99="","",ROW()-4)</x:f>
      </x:c>
      <x:c r="B99" s="79" t="str"/>
      <x:c r="C99" s="35" t="str"/>
      <x:c r="D99" s="35" t="str"/>
      <x:c r="E99" s="35" t="str"/>
      <x:c r="F99" s="35" t="str"/>
      <x:c r="G99" s="35" t="str"/>
      <x:c r="H99" s="36" t="str"/>
      <x:c r="I99" s="36" t="str"/>
      <x:c r="J99" s="35" t="str"/>
      <x:c r="K99" s="79" t="str"/>
      <x:c r="L99" s="85" t="str"/>
      <x:c r="M99" s="35" t="str"/>
      <x:c r="N99" s="35" t="str"/>
    </x:row>
    <x:row r="100">
      <x:c r="A100" s="84" t="str">
        <x:f>IF(B100="","",ROW()-4)</x:f>
      </x:c>
      <x:c r="B100" s="79" t="str"/>
      <x:c r="C100" s="35" t="str"/>
      <x:c r="D100" s="35" t="str"/>
      <x:c r="E100" s="35" t="str"/>
      <x:c r="F100" s="35" t="str"/>
      <x:c r="G100" s="35" t="str"/>
      <x:c r="H100" s="36" t="str"/>
      <x:c r="I100" s="36" t="str"/>
      <x:c r="J100" s="35" t="str"/>
      <x:c r="K100" s="79" t="str"/>
      <x:c r="L100" s="85" t="str"/>
      <x:c r="M100" s="35" t="str"/>
      <x:c r="N100" s="35" t="str"/>
    </x:row>
    <x:row r="101">
      <x:c r="A101" s="84" t="str">
        <x:f>IF(B101="","",ROW()-4)</x:f>
      </x:c>
      <x:c r="B101" s="79" t="str"/>
      <x:c r="C101" s="35" t="str"/>
      <x:c r="D101" s="35" t="str"/>
      <x:c r="E101" s="35" t="str"/>
      <x:c r="F101" s="35" t="str"/>
      <x:c r="G101" s="35" t="str"/>
      <x:c r="H101" s="36" t="str"/>
      <x:c r="I101" s="36" t="str"/>
      <x:c r="J101" s="35" t="str"/>
      <x:c r="K101" s="79" t="str"/>
      <x:c r="L101" s="85" t="str"/>
      <x:c r="M101" s="35" t="str"/>
      <x:c r="N101" s="35" t="str"/>
    </x:row>
    <x:row r="102">
      <x:c r="A102" s="84" t="str">
        <x:f>IF(B102="","",ROW()-4)</x:f>
      </x:c>
      <x:c r="B102" s="79" t="str"/>
      <x:c r="C102" s="35" t="str"/>
      <x:c r="D102" s="35" t="str"/>
      <x:c r="E102" s="35" t="str"/>
      <x:c r="F102" s="35" t="str"/>
      <x:c r="G102" s="35" t="str"/>
      <x:c r="H102" s="36" t="str"/>
      <x:c r="I102" s="36" t="str"/>
      <x:c r="J102" s="35" t="str"/>
      <x:c r="K102" s="79" t="str"/>
      <x:c r="L102" s="85" t="str"/>
      <x:c r="M102" s="35" t="str"/>
      <x:c r="N102" s="35" t="str"/>
    </x:row>
    <x:row r="103">
      <x:c r="A103" s="84" t="str">
        <x:f>IF(B103="","",ROW()-4)</x:f>
      </x:c>
      <x:c r="B103" s="79" t="str"/>
      <x:c r="C103" s="35" t="str"/>
      <x:c r="D103" s="35" t="str"/>
      <x:c r="E103" s="35" t="str"/>
      <x:c r="F103" s="35" t="str"/>
      <x:c r="G103" s="35" t="str"/>
      <x:c r="H103" s="36" t="str"/>
      <x:c r="I103" s="36" t="str"/>
      <x:c r="J103" s="35" t="str"/>
      <x:c r="K103" s="79" t="str"/>
      <x:c r="L103" s="85" t="str"/>
      <x:c r="M103" s="35" t="str"/>
      <x:c r="N103" s="35" t="str"/>
    </x:row>
    <x:row r="104">
      <x:c r="A104" s="84" t="str">
        <x:f>IF(B104="","",ROW()-4)</x:f>
      </x:c>
      <x:c r="B104" s="79" t="str"/>
      <x:c r="C104" s="35" t="str"/>
      <x:c r="D104" s="35" t="str"/>
      <x:c r="E104" s="35" t="str"/>
      <x:c r="F104" s="35" t="str"/>
      <x:c r="G104" s="35" t="str"/>
      <x:c r="H104" s="36" t="str"/>
      <x:c r="I104" s="36" t="str"/>
      <x:c r="J104" s="35" t="str"/>
      <x:c r="K104" s="79" t="str"/>
      <x:c r="L104" s="85" t="str"/>
      <x:c r="M104" s="35" t="str"/>
      <x:c r="N104" s="35" t="str"/>
    </x:row>
  </x:sheetData>
  <x:mergeCells>
    <x:mergeCell ref="A1:N1"/>
    <x:mergeCell ref="A2:N2"/>
  </x:mergeCells>
  <x:conditionalFormatting sqref="M5:M104">
    <x:cfRule type="containsText" dxfId="5" priority="1" operator="containsText" text="Open"/>
    <x:cfRule type="containsText" dxfId="6" priority="2" operator="containsText" text="Review Due"/>
    <x:cfRule type="containsText" dxfId="7" priority="3" operator="containsText" text="Resolved"/>
  </x:conditionalFormatting>
  <x:dataValidations count="6">
    <x:dataValidation type="list" sqref="C5:C104">
      <x:formula1>"Math P1,Math Mechanics,Business"</x:formula1>
    </x:dataValidation>
    <x:dataValidation type="list" sqref="D5:D104">
      <x:formula1>"9709/12,9709/42,9609/12,9609/22,Mixed"</x:formula1>
    </x:dataValidation>
    <x:dataValidation type="list" sqref="G5:G104">
      <x:formula1>"Knowledge,Misread,Method,Algebra,Sign/Direction,Units,Time,Evaluation,Application,Other"</x:formula1>
    </x:dataValidation>
    <x:dataValidation type="list" sqref="M5:M104">
      <x:formula1>"Open,Review Due,Resolved"</x:formula1>
    </x:dataValidation>
    <x:dataValidation type="whole" operator="between" sqref="J5:J104">
      <x:formula1>0</x:formula1>
      <x:formula2>100</x:formula2>
    </x:dataValidation>
    <x:dataValidation type="decimal" operator="between" sqref="L5:L10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6ba0c7c91eb40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1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Rohan Study System — Settings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Blue cells are editable inputs. Grey cells are formulas. Update dates and targets here; linked sheets update automatically.</x:v>
      </x:c>
      <x:c r="B2" s="7"/>
      <x:c r="C2" s="7"/>
      <x:c r="D2" s="7"/>
      <x:c r="E2" s="7"/>
      <x:c r="F2" s="7"/>
      <x:c r="G2" s="7"/>
      <x:c r="H2" s="7"/>
    </x:row>
    <x:row r="3" ht="34" customHeight="1">
      <x:c r="A3" s="16" t="str">
        <x:v>Core settings</x:v>
      </x:c>
      <x:c r="B3" s="17" t="str">
        <x:v>Value</x:v>
      </x:c>
      <x:c r="D3" s="16" t="str">
        <x:v>Subjects</x:v>
      </x:c>
      <x:c r="E3" s="30" t="str">
        <x:v>Papers</x:v>
      </x:c>
      <x:c r="F3" s="30" t="str">
        <x:v>Activities</x:v>
      </x:c>
      <x:c r="G3" s="30" t="str">
        <x:v>Statuses</x:v>
      </x:c>
      <x:c r="H3" s="17" t="str">
        <x:v>Error types</x:v>
      </x:c>
    </x:row>
    <x:row r="4">
      <x:c r="A4" t="str">
        <x:v>Study start date</x:v>
      </x:c>
      <x:c r="B4" s="23" t="n">
        <x:v>46250</x:v>
      </x:c>
      <x:c r="D4" s="36" t="str">
        <x:v>Math P1</x:v>
      </x:c>
      <x:c r="E4" s="36" t="str">
        <x:v>9709/12</x:v>
      </x:c>
      <x:c r="F4" s="36" t="str">
        <x:v>Retrieval</x:v>
      </x:c>
      <x:c r="G4" s="36" t="str">
        <x:v>Open</x:v>
      </x:c>
      <x:c r="H4" s="36" t="str">
        <x:v>Knowledge</x:v>
      </x:c>
    </x:row>
    <x:row r="5">
      <x:c r="A5" t="str">
        <x:v>Pure Mathematics 1 exam</x:v>
      </x:c>
      <x:c r="B5" s="23" t="n">
        <x:v>46295</x:v>
      </x:c>
      <x:c r="D5" s="36" t="str">
        <x:v>Math Mechanics</x:v>
      </x:c>
      <x:c r="E5" s="36" t="str">
        <x:v>9709/42</x:v>
      </x:c>
      <x:c r="F5" s="36" t="str">
        <x:v>Learn/Repair</x:v>
      </x:c>
      <x:c r="G5" s="36" t="str">
        <x:v>Review Due</x:v>
      </x:c>
      <x:c r="H5" s="36" t="str">
        <x:v>Misread</x:v>
      </x:c>
    </x:row>
    <x:row r="6">
      <x:c r="A6" t="str">
        <x:v>Business Paper 1 exam</x:v>
      </x:c>
      <x:c r="B6" s="23" t="n">
        <x:v>46300</x:v>
      </x:c>
      <x:c r="D6" s="36" t="str">
        <x:v>Business</x:v>
      </x:c>
      <x:c r="E6" s="36" t="str">
        <x:v>9609/12</x:v>
      </x:c>
      <x:c r="F6" s="36" t="str">
        <x:v>Topic Questions</x:v>
      </x:c>
      <x:c r="G6" s="36" t="str">
        <x:v>Resolved</x:v>
      </x:c>
      <x:c r="H6" s="36" t="str">
        <x:v>Method</x:v>
      </x:c>
    </x:row>
    <x:row r="7">
      <x:c r="A7" t="str">
        <x:v>Business Paper 2 exam</x:v>
      </x:c>
      <x:c r="B7" s="23" t="n">
        <x:v>46303</x:v>
      </x:c>
      <x:c r="D7" s="36"/>
      <x:c r="E7" s="36" t="str">
        <x:v>9609/22</x:v>
      </x:c>
      <x:c r="F7" s="36" t="str">
        <x:v>Timed Section</x:v>
      </x:c>
      <x:c r="G7" s="36"/>
      <x:c r="H7" s="36" t="str">
        <x:v>Algebra</x:v>
      </x:c>
    </x:row>
    <x:row r="8">
      <x:c r="A8" t="str">
        <x:v>Mechanics exam</x:v>
      </x:c>
      <x:c r="B8" s="23" t="n">
        <x:v>46308</x:v>
      </x:c>
      <x:c r="D8" s="36"/>
      <x:c r="E8" s="36" t="str">
        <x:v>Mixed</x:v>
      </x:c>
      <x:c r="F8" s="36" t="str">
        <x:v>Full Paper</x:v>
      </x:c>
      <x:c r="G8" s="36"/>
      <x:c r="H8" s="36" t="str">
        <x:v>Sign/Direction</x:v>
      </x:c>
    </x:row>
    <x:row r="9">
      <x:c r="A9" t="str">
        <x:v>Focused minutes target</x:v>
      </x:c>
      <x:c r="B9" s="24" t="n">
        <x:v>270</x:v>
      </x:c>
      <x:c r="D9" s="36"/>
      <x:c r="E9" s="36"/>
      <x:c r="F9" s="36" t="str">
        <x:v>Marking/Correction</x:v>
      </x:c>
      <x:c r="G9" s="36"/>
      <x:c r="H9" s="36" t="str">
        <x:v>Units</x:v>
      </x:c>
    </x:row>
    <x:row r="10">
      <x:c r="A10" t="str">
        <x:v>Focused hours target</x:v>
      </x:c>
      <x:c r="B10" s="26" t="n">
        <x:f>B9/60</x:f>
        <x:v>4.5</x:v>
      </x:c>
      <x:c r="D10" s="36"/>
      <x:c r="E10" s="36"/>
      <x:c r="F10" s="36" t="str">
        <x:v>Video + Practice</x:v>
      </x:c>
      <x:c r="G10" s="36"/>
      <x:c r="H10" s="36" t="str">
        <x:v>Time</x:v>
      </x:c>
    </x:row>
    <x:row r="11">
      <x:c r="D11" s="36"/>
      <x:c r="E11" s="36"/>
      <x:c r="F11" s="36"/>
      <x:c r="G11" s="36"/>
      <x:c r="H11" s="36" t="str">
        <x:v>Evaluation</x:v>
      </x:c>
    </x:row>
    <x:row r="12" ht="34" customHeight="1">
      <x:c r="A12" s="16" t="str">
        <x:v>Readiness target</x:v>
      </x:c>
      <x:c r="B12" s="30" t="str">
        <x:v>Target marks</x:v>
      </x:c>
      <x:c r="C12" s="17" t="str">
        <x:v>Target %</x:v>
      </x:c>
      <x:c r="D12" s="36"/>
      <x:c r="E12" s="36"/>
      <x:c r="F12" s="36"/>
      <x:c r="G12" s="36"/>
      <x:c r="H12" s="36" t="str">
        <x:v>Application</x:v>
      </x:c>
    </x:row>
    <x:row r="13">
      <x:c r="A13" t="str">
        <x:v>9709/12</x:v>
      </x:c>
      <x:c r="B13" t="str">
        <x:v>62/75</x:v>
      </x:c>
      <x:c r="C13" s="33" t="n">
        <x:f>62/75</x:f>
        <x:v>0.8266666666666667</x:v>
      </x:c>
      <x:c r="D13" s="36"/>
      <x:c r="E13" s="36"/>
      <x:c r="F13" s="36"/>
      <x:c r="G13" s="36"/>
      <x:c r="H13" s="36" t="str">
        <x:v>Other</x:v>
      </x:c>
    </x:row>
    <x:row r="14">
      <x:c r="A14" t="str">
        <x:v>9709/42</x:v>
      </x:c>
      <x:c r="B14" t="str">
        <x:v>42/50</x:v>
      </x:c>
      <x:c r="C14" s="33" t="n">
        <x:f>42/50</x:f>
        <x:v>0.84</x:v>
      </x:c>
    </x:row>
    <x:row r="15">
      <x:c r="A15" t="str">
        <x:v>9609/12</x:v>
      </x:c>
      <x:c r="B15" t="str">
        <x:v>34/40</x:v>
      </x:c>
      <x:c r="C15" s="33" t="n">
        <x:f>34/40</x:f>
        <x:v>0.85</x:v>
      </x:c>
    </x:row>
    <x:row r="16">
      <x:c r="A16" t="str">
        <x:v>9609/22</x:v>
      </x:c>
      <x:c r="B16" t="str">
        <x:v>51/60</x:v>
      </x:c>
      <x:c r="C16" s="33" t="n">
        <x:f>51/60</x:f>
        <x:v>0.85</x:v>
      </x:c>
    </x:row>
    <x:row r="19" ht="24" customHeight="1">
      <x:c r="A19" s="39" t="str">
        <x:v>Resource links</x:v>
      </x:c>
      <x:c r="B19" s="39"/>
      <x:c r="C19" s="39"/>
      <x:c r="D19" s="39"/>
      <x:c r="E19" s="39"/>
      <x:c r="F19" s="39"/>
      <x:c r="G19" s="39"/>
      <x:c r="H19" s="39"/>
    </x:row>
    <x:row r="20">
      <x:c r="A20" s="46" t="str">
        <x:v>Research and plan</x:v>
      </x:c>
      <x:c r="B20" s="47" t="str">
        <x:v>docs/research-and-45-day-plan.md</x:v>
      </x:c>
    </x:row>
    <x:row r="21">
      <x:c r="A21" s="48" t="str">
        <x:v>Quick video queue</x:v>
      </x:c>
      <x:c r="B21" s="49" t="str">
        <x:v>docs/quick-video-resources.md</x:v>
      </x:c>
    </x:row>
    <x:row r="22">
      <x:c r="A22" s="48" t="str">
        <x:v>Current 9709 syllabus</x:v>
      </x:c>
      <x:c r="B22" s="49" t="str">
        <x:v>https://www.cambridgeinternational.org/Images/697427-2026-2027-syllabus.pdf</x:v>
      </x:c>
    </x:row>
    <x:row r="23">
      <x:c r="A23" s="48" t="str">
        <x:v>Business Paper 1 guide</x:v>
      </x:c>
      <x:c r="B23" s="49" t="str">
        <x:v>https://www.youtube.com/watch?v=oSPSCQt3r1E</x:v>
      </x:c>
    </x:row>
    <x:row r="24">
      <x:c r="A24" s="50" t="str">
        <x:v>Business Paper 2 guide</x:v>
      </x:c>
      <x:c r="B24" s="51" t="str">
        <x:v>https://www.youtube.com/watch?v=aVEdrWmvrw8</x:v>
      </x:c>
    </x:row>
  </x:sheetData>
  <x:mergeCells>
    <x:mergeCell ref="A1:H1"/>
    <x:mergeCell ref="A2:H2"/>
    <x:mergeCell ref="A19:H19"/>
  </x:mergeCells>
  <x:pageMargins left="0.7" right="0.7" top="0.75" bottom="0.75" header="0.3" footer="0.3"/>
</x:worksheet>
</file>